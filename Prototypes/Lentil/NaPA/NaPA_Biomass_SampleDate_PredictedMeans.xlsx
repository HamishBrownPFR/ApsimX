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Repos\ApsimX\Prototypes\Lentil\NaPA\"/>
    </mc:Choice>
  </mc:AlternateContent>
  <xr:revisionPtr revIDLastSave="0" documentId="13_ncr:1_{E63113EB-CDAC-4CC1-A079-5B808D9DB2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1'!$F$1:$F$1505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2" i="1"/>
</calcChain>
</file>

<file path=xl/sharedStrings.xml><?xml version="1.0" encoding="utf-8"?>
<sst xmlns="http://schemas.openxmlformats.org/spreadsheetml/2006/main" count="7614" uniqueCount="144">
  <si>
    <t>ExpNo</t>
  </si>
  <si>
    <t>SiteKey</t>
  </si>
  <si>
    <t>HarvestNo</t>
  </si>
  <si>
    <t>HarvestStage</t>
  </si>
  <si>
    <t>Variety</t>
  </si>
  <si>
    <t>WaterTrt</t>
  </si>
  <si>
    <t>AgronomyTrt</t>
  </si>
  <si>
    <t>TOS</t>
  </si>
  <si>
    <t>TOSDate</t>
  </si>
  <si>
    <t>SampleDate</t>
  </si>
  <si>
    <t>Biomass_gm2</t>
  </si>
  <si>
    <t>Biomass_gm2_se</t>
  </si>
  <si>
    <t>HarvestIndex</t>
  </si>
  <si>
    <t>HarvestIndex_se</t>
  </si>
  <si>
    <t>Pod_count_m2</t>
  </si>
  <si>
    <t>Pod_count_m2_se</t>
  </si>
  <si>
    <t>Plant_count</t>
  </si>
  <si>
    <t>Plant_count_se</t>
  </si>
  <si>
    <t>Seed_count_m2</t>
  </si>
  <si>
    <t>Seed_count_m2_se</t>
  </si>
  <si>
    <t>SingleSeedDryWt_mg</t>
  </si>
  <si>
    <t>SingleSeedDryWt_mg_se</t>
  </si>
  <si>
    <t>Yield_gm2</t>
  </si>
  <si>
    <t>Yield_gm2_se</t>
  </si>
  <si>
    <t>2022_Qld_Gatton_Chickpea_Detailed</t>
  </si>
  <si>
    <t>DegreeDays300</t>
  </si>
  <si>
    <t>CBA_Captain</t>
  </si>
  <si>
    <t>Irrigated</t>
  </si>
  <si>
    <t>2022-06-13</t>
  </si>
  <si>
    <t>2022-07-18</t>
  </si>
  <si>
    <t>RainFed</t>
  </si>
  <si>
    <t>DegreeDays600</t>
  </si>
  <si>
    <t>Flowering</t>
  </si>
  <si>
    <t>Podding</t>
  </si>
  <si>
    <t>Maturity</t>
  </si>
  <si>
    <t>2022_Vic_Kalkee_Chickpea_Detailed</t>
  </si>
  <si>
    <t>2022-05-23</t>
  </si>
  <si>
    <t>2022-06-28</t>
  </si>
  <si>
    <t>2022_NSW_WaggaWagga_Chickpea_Detailed</t>
  </si>
  <si>
    <t>2022-05-11</t>
  </si>
  <si>
    <t>2022-06-15</t>
  </si>
  <si>
    <t>2022_SA_Riverton_Fababean_Detailed</t>
  </si>
  <si>
    <t>2022-06-18</t>
  </si>
  <si>
    <t>2022-07-14</t>
  </si>
  <si>
    <t>2022_Vic_Kalkee_Lentil_Detailed</t>
  </si>
  <si>
    <t>2022_SA_Riverton_Lentil_Detailed</t>
  </si>
  <si>
    <t>2022_NSW_WaggaWagga_Lentil_Detailed</t>
  </si>
  <si>
    <t>2022_WA_Deepdale_Chickpea_Satellite</t>
  </si>
  <si>
    <t>2022-04-13</t>
  </si>
  <si>
    <t>2022-04-26</t>
  </si>
  <si>
    <t>2022-05-10</t>
  </si>
  <si>
    <t>2022-05-27</t>
  </si>
  <si>
    <t>D11006_13F3HRMT4PR0004</t>
  </si>
  <si>
    <t>D12014_14F3TMWR2AB001</t>
  </si>
  <si>
    <t>Genesis_090</t>
  </si>
  <si>
    <t>2022_NSW_Greenethorpe_Chickpea_Satellite</t>
  </si>
  <si>
    <t>2022_Vic_Ouyen_Chickpea_Satellite</t>
  </si>
  <si>
    <t>2022-05-02</t>
  </si>
  <si>
    <t>2022-06-01</t>
  </si>
  <si>
    <t>2022_NSW_RankinsSprings_Chickpea_Satellite</t>
  </si>
  <si>
    <t>2022-05-09</t>
  </si>
  <si>
    <t>2022-06-09</t>
  </si>
  <si>
    <t>2022_SA_Warnertown_Fababean_Satellite</t>
  </si>
  <si>
    <t>Density_0.66</t>
  </si>
  <si>
    <t>2022-04-11</t>
  </si>
  <si>
    <t>Density_1</t>
  </si>
  <si>
    <t>2022_NSW_Methul_Lentil_Satellite</t>
  </si>
  <si>
    <t>2022-06-14</t>
  </si>
  <si>
    <t>2022_Vic_Ouyen_Lentil_Satellite</t>
  </si>
  <si>
    <t>GIA_Leader</t>
  </si>
  <si>
    <t>GIA_Lightning</t>
  </si>
  <si>
    <t>2022_NSW_RankinsSprings_Lentil_Satellite</t>
  </si>
  <si>
    <t>2022_SA_Warnertown_Lentil_Satellite</t>
  </si>
  <si>
    <t>2023_NSW_WaggaWagga_Fababean_Detailed</t>
  </si>
  <si>
    <t>2023-04-26</t>
  </si>
  <si>
    <t>2023-05-31</t>
  </si>
  <si>
    <t>2023_NSW_WaggaWagga_Lupin_Detailed</t>
  </si>
  <si>
    <t>Mandelup</t>
  </si>
  <si>
    <t>Wonga</t>
  </si>
  <si>
    <t>2023_Qld_Gatton_Chickpea_Detailed</t>
  </si>
  <si>
    <t>2023-05-26</t>
  </si>
  <si>
    <t>2023-07-03</t>
  </si>
  <si>
    <t>2023_SA_Pinery_Fababean_Detailed</t>
  </si>
  <si>
    <t>2023-05-10</t>
  </si>
  <si>
    <t>2023-06-28</t>
  </si>
  <si>
    <t>2023_SA_Pinery_Lentil_Detailed</t>
  </si>
  <si>
    <t>2023_Vic_Dooen_Chickpea_Detailed</t>
  </si>
  <si>
    <t>2023-05-16</t>
  </si>
  <si>
    <t>2023_Vic_Dooen_Lentil_Detailed</t>
  </si>
  <si>
    <t>2023_WA_Northam_Chickpea_Detailed</t>
  </si>
  <si>
    <t>2023-05-17</t>
  </si>
  <si>
    <t>2023-06-14</t>
  </si>
  <si>
    <t>2023_NSW_RankinsSprings_Fababean_Satellite</t>
  </si>
  <si>
    <t>2023-04-24</t>
  </si>
  <si>
    <t>2023-05-18</t>
  </si>
  <si>
    <t>2023_NSW_RankinsSprings_Lupin_Satellite</t>
  </si>
  <si>
    <t>Jindalee</t>
  </si>
  <si>
    <t>2023_SA_Warnertown_Fababean_Satellite</t>
  </si>
  <si>
    <t>2023-04-13</t>
  </si>
  <si>
    <t>2023-05-08</t>
  </si>
  <si>
    <t>2023_SA_Warnertown_Lentil_Satellite</t>
  </si>
  <si>
    <t>2023_Vic_Ouyen_Chickpea_Satellite</t>
  </si>
  <si>
    <t>2023-05-04</t>
  </si>
  <si>
    <t>2023-06-16</t>
  </si>
  <si>
    <t>2023_Vic_Ouyen_Lentil_Satellite</t>
  </si>
  <si>
    <t>2024_Qld_Gatton_Chickpea_Detailed</t>
  </si>
  <si>
    <t>2024-05-15</t>
  </si>
  <si>
    <t>2024-06-17</t>
  </si>
  <si>
    <t>2024_Vic_Kalkee_Chickpea_Detailed</t>
  </si>
  <si>
    <t>2024-05-22</t>
  </si>
  <si>
    <t>2024-07-04</t>
  </si>
  <si>
    <t>2024_Vic_Kalkee_Fababean_Detailed</t>
  </si>
  <si>
    <t>2024-05-24</t>
  </si>
  <si>
    <t>2024_WA_Bolgart_Chickpea_Detailed</t>
  </si>
  <si>
    <t>2024-06-20</t>
  </si>
  <si>
    <t>2024_SA_Warnertown_Fababean_Satellite</t>
  </si>
  <si>
    <t>2024-04-10</t>
  </si>
  <si>
    <t>2024_SA_Warnertown_Lentil_Satellite</t>
  </si>
  <si>
    <t>2024_Vic_Douglas_Fababean_Satellite</t>
  </si>
  <si>
    <t>2024-05-10</t>
  </si>
  <si>
    <t>2024_Vic_Walpeup_Lentil_Satellite</t>
  </si>
  <si>
    <t>2024-05-09</t>
  </si>
  <si>
    <t>SimulationName</t>
  </si>
  <si>
    <t>Drummond</t>
  </si>
  <si>
    <t>HatTrick</t>
  </si>
  <si>
    <t>Striker</t>
  </si>
  <si>
    <t>Amberley</t>
  </si>
  <si>
    <t>Marne</t>
  </si>
  <si>
    <t>Nasma</t>
  </si>
  <si>
    <t>Samira</t>
  </si>
  <si>
    <t>Bolt</t>
  </si>
  <si>
    <t>HallmarkXT</t>
  </si>
  <si>
    <t>Jumbo2</t>
  </si>
  <si>
    <t>KelpieXT</t>
  </si>
  <si>
    <t>Magnus</t>
  </si>
  <si>
    <t>Boundary</t>
  </si>
  <si>
    <t>Slasher</t>
  </si>
  <si>
    <t>Ace</t>
  </si>
  <si>
    <t>Greenfield</t>
  </si>
  <si>
    <t>Bateman</t>
  </si>
  <si>
    <t>Jurien</t>
  </si>
  <si>
    <t>Ayla</t>
  </si>
  <si>
    <t>Nanu</t>
  </si>
  <si>
    <t>Gunyidi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</si>
</sst>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05"/>
  <sheetViews>
    <sheetView tabSelected="1" topLeftCell="A1511" workbookViewId="0">
      <selection activeCell="X202" sqref="X202:Y1547"/>
    </sheetView>
  </sheetViews>
  <sheetFormatPr defaultColWidth="11.5703125" defaultRowHeight="15" x14ac:dyDescent="0.25"/>
  <cols>
    <col min="1" max="1" width="104.7109375" bestFit="1" customWidth="1"/>
    <col min="5" max="5" width="13.7109375" bestFit="1" customWidth="1"/>
  </cols>
  <sheetData>
    <row r="1" spans="1:25" x14ac:dyDescent="0.25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idden="1" x14ac:dyDescent="0.25">
      <c r="A2" t="str">
        <f>C2&amp;"TOSTOS"&amp;I2&amp;"Variety"&amp;F2&amp;"WaterTrt"&amp;G2&amp;IF(H2="","","Agronomy"&amp;H2)</f>
        <v>2022_Qld_Gatton_Chickpea_DetailedTOSTOS1VarietyCBA_CaptainWaterTrtIrrigated</v>
      </c>
      <c r="B2">
        <v>2022001</v>
      </c>
      <c r="C2" t="s">
        <v>24</v>
      </c>
      <c r="D2">
        <v>2</v>
      </c>
      <c r="E2" t="s">
        <v>25</v>
      </c>
      <c r="F2" t="s">
        <v>26</v>
      </c>
      <c r="G2" t="s">
        <v>27</v>
      </c>
      <c r="I2">
        <v>1</v>
      </c>
      <c r="J2" t="s">
        <v>28</v>
      </c>
      <c r="K2" s="1">
        <v>44761</v>
      </c>
      <c r="L2">
        <v>11.2</v>
      </c>
      <c r="M2">
        <v>0.9</v>
      </c>
    </row>
    <row r="3" spans="1:25" hidden="1" x14ac:dyDescent="0.25">
      <c r="A3" t="str">
        <f t="shared" ref="A3:A66" si="0">C3&amp;"TOSTOS"&amp;I3&amp;"Variety"&amp;F3&amp;"WaterTrt"&amp;G3&amp;IF(H3="","","Agronomy"&amp;H3)</f>
        <v>2022_Qld_Gatton_Chickpea_DetailedTOSTOS2VarietyCBA_CaptainWaterTrtIrrigated</v>
      </c>
      <c r="B3">
        <v>2022001</v>
      </c>
      <c r="C3" t="s">
        <v>24</v>
      </c>
      <c r="D3">
        <v>2</v>
      </c>
      <c r="E3" t="s">
        <v>25</v>
      </c>
      <c r="F3" t="s">
        <v>26</v>
      </c>
      <c r="G3" t="s">
        <v>27</v>
      </c>
      <c r="I3">
        <v>2</v>
      </c>
      <c r="J3" t="s">
        <v>29</v>
      </c>
      <c r="K3" s="1">
        <v>44795</v>
      </c>
      <c r="L3">
        <v>20.399999999999999</v>
      </c>
      <c r="M3">
        <v>0.9</v>
      </c>
    </row>
    <row r="4" spans="1:25" hidden="1" x14ac:dyDescent="0.25">
      <c r="A4" t="str">
        <f t="shared" si="0"/>
        <v>2022_Qld_Gatton_Chickpea_DetailedTOSTOS1VarietyCBA_CaptainWaterTrtRainFed</v>
      </c>
      <c r="B4">
        <v>2022001</v>
      </c>
      <c r="C4" t="s">
        <v>24</v>
      </c>
      <c r="D4">
        <v>2</v>
      </c>
      <c r="E4" t="s">
        <v>25</v>
      </c>
      <c r="F4" t="s">
        <v>26</v>
      </c>
      <c r="G4" t="s">
        <v>30</v>
      </c>
      <c r="I4">
        <v>1</v>
      </c>
      <c r="J4" t="s">
        <v>28</v>
      </c>
      <c r="K4" s="1">
        <v>44761</v>
      </c>
      <c r="L4">
        <v>11.6</v>
      </c>
      <c r="M4">
        <v>0.9</v>
      </c>
    </row>
    <row r="5" spans="1:25" hidden="1" x14ac:dyDescent="0.25">
      <c r="A5" t="str">
        <f t="shared" si="0"/>
        <v>2022_Qld_Gatton_Chickpea_DetailedTOSTOS2VarietyCBA_CaptainWaterTrtRainFed</v>
      </c>
      <c r="B5">
        <v>2022001</v>
      </c>
      <c r="C5" t="s">
        <v>24</v>
      </c>
      <c r="D5">
        <v>2</v>
      </c>
      <c r="E5" t="s">
        <v>25</v>
      </c>
      <c r="F5" t="s">
        <v>26</v>
      </c>
      <c r="G5" t="s">
        <v>30</v>
      </c>
      <c r="I5">
        <v>2</v>
      </c>
      <c r="J5" t="s">
        <v>29</v>
      </c>
      <c r="K5" s="1">
        <v>44795</v>
      </c>
      <c r="L5">
        <v>21.1</v>
      </c>
      <c r="M5">
        <v>0.9</v>
      </c>
    </row>
    <row r="6" spans="1:25" hidden="1" x14ac:dyDescent="0.25">
      <c r="A6" t="str">
        <f t="shared" si="0"/>
        <v>2022_Qld_Gatton_Chickpea_DetailedTOSTOS1VarietyDrummondWaterTrtIrrigated</v>
      </c>
      <c r="B6">
        <v>2022001</v>
      </c>
      <c r="C6" t="s">
        <v>24</v>
      </c>
      <c r="D6">
        <v>2</v>
      </c>
      <c r="E6" t="s">
        <v>25</v>
      </c>
      <c r="F6" t="s">
        <v>123</v>
      </c>
      <c r="G6" t="s">
        <v>27</v>
      </c>
      <c r="I6">
        <v>1</v>
      </c>
      <c r="J6" t="s">
        <v>28</v>
      </c>
      <c r="K6" s="1">
        <v>44761</v>
      </c>
      <c r="L6">
        <v>12.1</v>
      </c>
      <c r="M6">
        <v>0.89</v>
      </c>
    </row>
    <row r="7" spans="1:25" hidden="1" x14ac:dyDescent="0.25">
      <c r="A7" t="str">
        <f t="shared" si="0"/>
        <v>2022_Qld_Gatton_Chickpea_DetailedTOSTOS2VarietyDrummondWaterTrtIrrigated</v>
      </c>
      <c r="B7">
        <v>2022001</v>
      </c>
      <c r="C7" t="s">
        <v>24</v>
      </c>
      <c r="D7">
        <v>2</v>
      </c>
      <c r="E7" t="s">
        <v>25</v>
      </c>
      <c r="F7" t="s">
        <v>123</v>
      </c>
      <c r="G7" t="s">
        <v>27</v>
      </c>
      <c r="I7">
        <v>2</v>
      </c>
      <c r="J7" t="s">
        <v>29</v>
      </c>
      <c r="K7" s="1">
        <v>44795</v>
      </c>
      <c r="L7">
        <v>20.8</v>
      </c>
      <c r="M7">
        <v>0.9</v>
      </c>
    </row>
    <row r="8" spans="1:25" hidden="1" x14ac:dyDescent="0.25">
      <c r="A8" t="str">
        <f t="shared" si="0"/>
        <v>2022_Qld_Gatton_Chickpea_DetailedTOSTOS1VarietyDrummondWaterTrtRainFed</v>
      </c>
      <c r="B8">
        <v>2022001</v>
      </c>
      <c r="C8" t="s">
        <v>24</v>
      </c>
      <c r="D8">
        <v>2</v>
      </c>
      <c r="E8" t="s">
        <v>25</v>
      </c>
      <c r="F8" t="s">
        <v>123</v>
      </c>
      <c r="G8" t="s">
        <v>30</v>
      </c>
      <c r="I8">
        <v>1</v>
      </c>
      <c r="J8" t="s">
        <v>28</v>
      </c>
      <c r="K8" s="1">
        <v>44761</v>
      </c>
      <c r="L8">
        <v>12.6</v>
      </c>
      <c r="M8">
        <v>0.89</v>
      </c>
    </row>
    <row r="9" spans="1:25" hidden="1" x14ac:dyDescent="0.25">
      <c r="A9" t="str">
        <f t="shared" si="0"/>
        <v>2022_Qld_Gatton_Chickpea_DetailedTOSTOS2VarietyDrummondWaterTrtRainFed</v>
      </c>
      <c r="B9">
        <v>2022001</v>
      </c>
      <c r="C9" t="s">
        <v>24</v>
      </c>
      <c r="D9">
        <v>2</v>
      </c>
      <c r="E9" t="s">
        <v>25</v>
      </c>
      <c r="F9" t="s">
        <v>123</v>
      </c>
      <c r="G9" t="s">
        <v>30</v>
      </c>
      <c r="I9">
        <v>2</v>
      </c>
      <c r="J9" t="s">
        <v>29</v>
      </c>
      <c r="K9" s="1">
        <v>44795</v>
      </c>
      <c r="L9">
        <v>21.9</v>
      </c>
      <c r="M9">
        <v>0.9</v>
      </c>
    </row>
    <row r="10" spans="1:25" hidden="1" x14ac:dyDescent="0.25">
      <c r="A10" t="str">
        <f t="shared" si="0"/>
        <v>2022_Qld_Gatton_Chickpea_DetailedTOSTOS1VarietyHatTrickWaterTrtIrrigated</v>
      </c>
      <c r="B10">
        <v>2022001</v>
      </c>
      <c r="C10" t="s">
        <v>24</v>
      </c>
      <c r="D10">
        <v>2</v>
      </c>
      <c r="E10" t="s">
        <v>25</v>
      </c>
      <c r="F10" t="s">
        <v>124</v>
      </c>
      <c r="G10" t="s">
        <v>27</v>
      </c>
      <c r="I10">
        <v>1</v>
      </c>
      <c r="J10" t="s">
        <v>28</v>
      </c>
      <c r="K10" s="1">
        <v>44761</v>
      </c>
      <c r="L10">
        <v>11.1</v>
      </c>
      <c r="M10">
        <v>0.89</v>
      </c>
    </row>
    <row r="11" spans="1:25" hidden="1" x14ac:dyDescent="0.25">
      <c r="A11" t="str">
        <f t="shared" si="0"/>
        <v>2022_Qld_Gatton_Chickpea_DetailedTOSTOS2VarietyHatTrickWaterTrtIrrigated</v>
      </c>
      <c r="B11">
        <v>2022001</v>
      </c>
      <c r="C11" t="s">
        <v>24</v>
      </c>
      <c r="D11">
        <v>2</v>
      </c>
      <c r="E11" t="s">
        <v>25</v>
      </c>
      <c r="F11" t="s">
        <v>124</v>
      </c>
      <c r="G11" t="s">
        <v>27</v>
      </c>
      <c r="I11">
        <v>2</v>
      </c>
      <c r="J11" t="s">
        <v>29</v>
      </c>
      <c r="K11" s="1">
        <v>44795</v>
      </c>
      <c r="L11">
        <v>19.5</v>
      </c>
      <c r="M11">
        <v>0.9</v>
      </c>
    </row>
    <row r="12" spans="1:25" hidden="1" x14ac:dyDescent="0.25">
      <c r="A12" t="str">
        <f t="shared" si="0"/>
        <v>2022_Qld_Gatton_Chickpea_DetailedTOSTOS1VarietyHatTrickWaterTrtRainFed</v>
      </c>
      <c r="B12">
        <v>2022001</v>
      </c>
      <c r="C12" t="s">
        <v>24</v>
      </c>
      <c r="D12">
        <v>2</v>
      </c>
      <c r="E12" t="s">
        <v>25</v>
      </c>
      <c r="F12" t="s">
        <v>124</v>
      </c>
      <c r="G12" t="s">
        <v>30</v>
      </c>
      <c r="I12">
        <v>1</v>
      </c>
      <c r="J12" t="s">
        <v>28</v>
      </c>
      <c r="K12" s="1">
        <v>44761</v>
      </c>
      <c r="L12">
        <v>11</v>
      </c>
      <c r="M12">
        <v>0.89</v>
      </c>
    </row>
    <row r="13" spans="1:25" hidden="1" x14ac:dyDescent="0.25">
      <c r="A13" t="str">
        <f t="shared" si="0"/>
        <v>2022_Qld_Gatton_Chickpea_DetailedTOSTOS2VarietyHatTrickWaterTrtRainFed</v>
      </c>
      <c r="B13">
        <v>2022001</v>
      </c>
      <c r="C13" t="s">
        <v>24</v>
      </c>
      <c r="D13">
        <v>2</v>
      </c>
      <c r="E13" t="s">
        <v>25</v>
      </c>
      <c r="F13" t="s">
        <v>124</v>
      </c>
      <c r="G13" t="s">
        <v>30</v>
      </c>
      <c r="I13">
        <v>2</v>
      </c>
      <c r="J13" t="s">
        <v>29</v>
      </c>
      <c r="K13" s="1">
        <v>44795</v>
      </c>
      <c r="L13">
        <v>18.5</v>
      </c>
      <c r="M13">
        <v>0.9</v>
      </c>
    </row>
    <row r="14" spans="1:25" hidden="1" x14ac:dyDescent="0.25">
      <c r="A14" t="str">
        <f t="shared" si="0"/>
        <v>2022_Qld_Gatton_Chickpea_DetailedTOSTOS1VarietyStrikerWaterTrtIrrigated</v>
      </c>
      <c r="B14">
        <v>2022001</v>
      </c>
      <c r="C14" t="s">
        <v>24</v>
      </c>
      <c r="D14">
        <v>2</v>
      </c>
      <c r="E14" t="s">
        <v>25</v>
      </c>
      <c r="F14" t="s">
        <v>125</v>
      </c>
      <c r="G14" t="s">
        <v>27</v>
      </c>
      <c r="I14">
        <v>1</v>
      </c>
      <c r="J14" t="s">
        <v>28</v>
      </c>
      <c r="K14" s="1">
        <v>44761</v>
      </c>
      <c r="L14">
        <v>10.1</v>
      </c>
      <c r="M14">
        <v>0.9</v>
      </c>
    </row>
    <row r="15" spans="1:25" hidden="1" x14ac:dyDescent="0.25">
      <c r="A15" t="str">
        <f t="shared" si="0"/>
        <v>2022_Qld_Gatton_Chickpea_DetailedTOSTOS2VarietyStrikerWaterTrtIrrigated</v>
      </c>
      <c r="B15">
        <v>2022001</v>
      </c>
      <c r="C15" t="s">
        <v>24</v>
      </c>
      <c r="D15">
        <v>2</v>
      </c>
      <c r="E15" t="s">
        <v>25</v>
      </c>
      <c r="F15" t="s">
        <v>125</v>
      </c>
      <c r="G15" t="s">
        <v>27</v>
      </c>
      <c r="I15">
        <v>2</v>
      </c>
      <c r="J15" t="s">
        <v>29</v>
      </c>
      <c r="K15" s="1">
        <v>44795</v>
      </c>
      <c r="L15">
        <v>15.7</v>
      </c>
      <c r="M15">
        <v>0.9</v>
      </c>
    </row>
    <row r="16" spans="1:25" hidden="1" x14ac:dyDescent="0.25">
      <c r="A16" t="str">
        <f t="shared" si="0"/>
        <v>2022_Qld_Gatton_Chickpea_DetailedTOSTOS1VarietyStrikerWaterTrtRainFed</v>
      </c>
      <c r="B16">
        <v>2022001</v>
      </c>
      <c r="C16" t="s">
        <v>24</v>
      </c>
      <c r="D16">
        <v>2</v>
      </c>
      <c r="E16" t="s">
        <v>25</v>
      </c>
      <c r="F16" t="s">
        <v>125</v>
      </c>
      <c r="G16" t="s">
        <v>30</v>
      </c>
      <c r="I16">
        <v>1</v>
      </c>
      <c r="J16" t="s">
        <v>28</v>
      </c>
      <c r="K16" s="1">
        <v>44761</v>
      </c>
      <c r="L16">
        <v>10</v>
      </c>
      <c r="M16">
        <v>0.9</v>
      </c>
    </row>
    <row r="17" spans="1:13" hidden="1" x14ac:dyDescent="0.25">
      <c r="A17" t="str">
        <f t="shared" si="0"/>
        <v>2022_Qld_Gatton_Chickpea_DetailedTOSTOS2VarietyStrikerWaterTrtRainFed</v>
      </c>
      <c r="B17">
        <v>2022001</v>
      </c>
      <c r="C17" t="s">
        <v>24</v>
      </c>
      <c r="D17">
        <v>2</v>
      </c>
      <c r="E17" t="s">
        <v>25</v>
      </c>
      <c r="F17" t="s">
        <v>125</v>
      </c>
      <c r="G17" t="s">
        <v>30</v>
      </c>
      <c r="I17">
        <v>2</v>
      </c>
      <c r="J17" t="s">
        <v>29</v>
      </c>
      <c r="K17" s="1">
        <v>44795</v>
      </c>
      <c r="L17">
        <v>17.7</v>
      </c>
      <c r="M17">
        <v>0.9</v>
      </c>
    </row>
    <row r="18" spans="1:13" hidden="1" x14ac:dyDescent="0.25">
      <c r="A18" t="str">
        <f t="shared" si="0"/>
        <v>2022_Qld_Gatton_Chickpea_DetailedTOSTOS1VarietyCBA_CaptainWaterTrtIrrigated</v>
      </c>
      <c r="B18">
        <v>2022001</v>
      </c>
      <c r="C18" t="s">
        <v>24</v>
      </c>
      <c r="D18">
        <v>3</v>
      </c>
      <c r="E18" t="s">
        <v>31</v>
      </c>
      <c r="F18" t="s">
        <v>26</v>
      </c>
      <c r="G18" t="s">
        <v>27</v>
      </c>
      <c r="I18">
        <v>1</v>
      </c>
      <c r="J18" t="s">
        <v>28</v>
      </c>
      <c r="K18" s="1">
        <v>44783</v>
      </c>
      <c r="L18">
        <v>66.599999999999994</v>
      </c>
      <c r="M18">
        <v>5.6</v>
      </c>
    </row>
    <row r="19" spans="1:13" hidden="1" x14ac:dyDescent="0.25">
      <c r="A19" t="str">
        <f t="shared" si="0"/>
        <v>2022_Qld_Gatton_Chickpea_DetailedTOSTOS2VarietyCBA_CaptainWaterTrtIrrigated</v>
      </c>
      <c r="B19">
        <v>2022001</v>
      </c>
      <c r="C19" t="s">
        <v>24</v>
      </c>
      <c r="D19">
        <v>3</v>
      </c>
      <c r="E19" t="s">
        <v>31</v>
      </c>
      <c r="F19" t="s">
        <v>26</v>
      </c>
      <c r="G19" t="s">
        <v>27</v>
      </c>
      <c r="I19">
        <v>2</v>
      </c>
      <c r="J19" t="s">
        <v>29</v>
      </c>
      <c r="K19" s="1">
        <v>44811</v>
      </c>
      <c r="L19">
        <v>52.9</v>
      </c>
      <c r="M19">
        <v>5.6</v>
      </c>
    </row>
    <row r="20" spans="1:13" hidden="1" x14ac:dyDescent="0.25">
      <c r="A20" t="str">
        <f t="shared" si="0"/>
        <v>2022_Qld_Gatton_Chickpea_DetailedTOSTOS1VarietyCBA_CaptainWaterTrtRainFed</v>
      </c>
      <c r="B20">
        <v>2022001</v>
      </c>
      <c r="C20" t="s">
        <v>24</v>
      </c>
      <c r="D20">
        <v>3</v>
      </c>
      <c r="E20" t="s">
        <v>31</v>
      </c>
      <c r="F20" t="s">
        <v>26</v>
      </c>
      <c r="G20" t="s">
        <v>30</v>
      </c>
      <c r="I20">
        <v>1</v>
      </c>
      <c r="J20" t="s">
        <v>28</v>
      </c>
      <c r="K20" s="1">
        <v>44783</v>
      </c>
      <c r="L20">
        <v>67</v>
      </c>
      <c r="M20">
        <v>5.6</v>
      </c>
    </row>
    <row r="21" spans="1:13" hidden="1" x14ac:dyDescent="0.25">
      <c r="A21" t="str">
        <f t="shared" si="0"/>
        <v>2022_Qld_Gatton_Chickpea_DetailedTOSTOS2VarietyCBA_CaptainWaterTrtRainFed</v>
      </c>
      <c r="B21">
        <v>2022001</v>
      </c>
      <c r="C21" t="s">
        <v>24</v>
      </c>
      <c r="D21">
        <v>3</v>
      </c>
      <c r="E21" t="s">
        <v>31</v>
      </c>
      <c r="F21" t="s">
        <v>26</v>
      </c>
      <c r="G21" t="s">
        <v>30</v>
      </c>
      <c r="I21">
        <v>2</v>
      </c>
      <c r="J21" t="s">
        <v>29</v>
      </c>
      <c r="K21" s="1">
        <v>44811</v>
      </c>
      <c r="L21">
        <v>57.5</v>
      </c>
      <c r="M21">
        <v>5.6</v>
      </c>
    </row>
    <row r="22" spans="1:13" hidden="1" x14ac:dyDescent="0.25">
      <c r="A22" t="str">
        <f t="shared" si="0"/>
        <v>2022_Qld_Gatton_Chickpea_DetailedTOSTOS1VarietyDrummondWaterTrtIrrigated</v>
      </c>
      <c r="B22">
        <v>2022001</v>
      </c>
      <c r="C22" t="s">
        <v>24</v>
      </c>
      <c r="D22">
        <v>3</v>
      </c>
      <c r="E22" t="s">
        <v>31</v>
      </c>
      <c r="F22" t="s">
        <v>123</v>
      </c>
      <c r="G22" t="s">
        <v>27</v>
      </c>
      <c r="I22">
        <v>1</v>
      </c>
      <c r="J22" t="s">
        <v>28</v>
      </c>
      <c r="K22" s="1">
        <v>44783</v>
      </c>
      <c r="L22">
        <v>60.9</v>
      </c>
      <c r="M22">
        <v>5.6</v>
      </c>
    </row>
    <row r="23" spans="1:13" hidden="1" x14ac:dyDescent="0.25">
      <c r="A23" t="str">
        <f t="shared" si="0"/>
        <v>2022_Qld_Gatton_Chickpea_DetailedTOSTOS2VarietyDrummondWaterTrtIrrigated</v>
      </c>
      <c r="B23">
        <v>2022001</v>
      </c>
      <c r="C23" t="s">
        <v>24</v>
      </c>
      <c r="D23">
        <v>3</v>
      </c>
      <c r="E23" t="s">
        <v>31</v>
      </c>
      <c r="F23" t="s">
        <v>123</v>
      </c>
      <c r="G23" t="s">
        <v>27</v>
      </c>
      <c r="I23">
        <v>2</v>
      </c>
      <c r="J23" t="s">
        <v>29</v>
      </c>
      <c r="K23" s="1">
        <v>44811</v>
      </c>
      <c r="L23">
        <v>52</v>
      </c>
      <c r="M23">
        <v>5.6</v>
      </c>
    </row>
    <row r="24" spans="1:13" hidden="1" x14ac:dyDescent="0.25">
      <c r="A24" t="str">
        <f t="shared" si="0"/>
        <v>2022_Qld_Gatton_Chickpea_DetailedTOSTOS1VarietyDrummondWaterTrtRainFed</v>
      </c>
      <c r="B24">
        <v>2022001</v>
      </c>
      <c r="C24" t="s">
        <v>24</v>
      </c>
      <c r="D24">
        <v>3</v>
      </c>
      <c r="E24" t="s">
        <v>31</v>
      </c>
      <c r="F24" t="s">
        <v>123</v>
      </c>
      <c r="G24" t="s">
        <v>30</v>
      </c>
      <c r="I24">
        <v>1</v>
      </c>
      <c r="J24" t="s">
        <v>28</v>
      </c>
      <c r="K24" s="1">
        <v>44783</v>
      </c>
      <c r="L24">
        <v>66.5</v>
      </c>
      <c r="M24">
        <v>5.6</v>
      </c>
    </row>
    <row r="25" spans="1:13" hidden="1" x14ac:dyDescent="0.25">
      <c r="A25" t="str">
        <f t="shared" si="0"/>
        <v>2022_Qld_Gatton_Chickpea_DetailedTOSTOS2VarietyDrummondWaterTrtRainFed</v>
      </c>
      <c r="B25">
        <v>2022001</v>
      </c>
      <c r="C25" t="s">
        <v>24</v>
      </c>
      <c r="D25">
        <v>3</v>
      </c>
      <c r="E25" t="s">
        <v>31</v>
      </c>
      <c r="F25" t="s">
        <v>123</v>
      </c>
      <c r="G25" t="s">
        <v>30</v>
      </c>
      <c r="I25">
        <v>2</v>
      </c>
      <c r="J25" t="s">
        <v>29</v>
      </c>
      <c r="K25" s="1">
        <v>44811</v>
      </c>
      <c r="L25">
        <v>61.3</v>
      </c>
      <c r="M25">
        <v>5.6</v>
      </c>
    </row>
    <row r="26" spans="1:13" hidden="1" x14ac:dyDescent="0.25">
      <c r="A26" t="str">
        <f t="shared" si="0"/>
        <v>2022_Qld_Gatton_Chickpea_DetailedTOSTOS1VarietyHatTrickWaterTrtIrrigated</v>
      </c>
      <c r="B26">
        <v>2022001</v>
      </c>
      <c r="C26" t="s">
        <v>24</v>
      </c>
      <c r="D26">
        <v>3</v>
      </c>
      <c r="E26" t="s">
        <v>31</v>
      </c>
      <c r="F26" t="s">
        <v>124</v>
      </c>
      <c r="G26" t="s">
        <v>27</v>
      </c>
      <c r="I26">
        <v>1</v>
      </c>
      <c r="J26" t="s">
        <v>28</v>
      </c>
      <c r="K26" s="1">
        <v>44783</v>
      </c>
      <c r="L26">
        <v>60.4</v>
      </c>
      <c r="M26">
        <v>5.6</v>
      </c>
    </row>
    <row r="27" spans="1:13" hidden="1" x14ac:dyDescent="0.25">
      <c r="A27" t="str">
        <f t="shared" si="0"/>
        <v>2022_Qld_Gatton_Chickpea_DetailedTOSTOS2VarietyHatTrickWaterTrtIrrigated</v>
      </c>
      <c r="B27">
        <v>2022001</v>
      </c>
      <c r="C27" t="s">
        <v>24</v>
      </c>
      <c r="D27">
        <v>3</v>
      </c>
      <c r="E27" t="s">
        <v>31</v>
      </c>
      <c r="F27" t="s">
        <v>124</v>
      </c>
      <c r="G27" t="s">
        <v>27</v>
      </c>
      <c r="I27">
        <v>2</v>
      </c>
      <c r="J27" t="s">
        <v>29</v>
      </c>
      <c r="K27" s="1">
        <v>44811</v>
      </c>
      <c r="L27">
        <v>50.8</v>
      </c>
      <c r="M27">
        <v>5.6</v>
      </c>
    </row>
    <row r="28" spans="1:13" hidden="1" x14ac:dyDescent="0.25">
      <c r="A28" t="str">
        <f t="shared" si="0"/>
        <v>2022_Qld_Gatton_Chickpea_DetailedTOSTOS1VarietyHatTrickWaterTrtRainFed</v>
      </c>
      <c r="B28">
        <v>2022001</v>
      </c>
      <c r="C28" t="s">
        <v>24</v>
      </c>
      <c r="D28">
        <v>3</v>
      </c>
      <c r="E28" t="s">
        <v>31</v>
      </c>
      <c r="F28" t="s">
        <v>124</v>
      </c>
      <c r="G28" t="s">
        <v>30</v>
      </c>
      <c r="I28">
        <v>1</v>
      </c>
      <c r="J28" t="s">
        <v>28</v>
      </c>
      <c r="K28" s="1">
        <v>44783</v>
      </c>
      <c r="L28">
        <v>64</v>
      </c>
      <c r="M28">
        <v>5.6</v>
      </c>
    </row>
    <row r="29" spans="1:13" hidden="1" x14ac:dyDescent="0.25">
      <c r="A29" t="str">
        <f t="shared" si="0"/>
        <v>2022_Qld_Gatton_Chickpea_DetailedTOSTOS2VarietyHatTrickWaterTrtRainFed</v>
      </c>
      <c r="B29">
        <v>2022001</v>
      </c>
      <c r="C29" t="s">
        <v>24</v>
      </c>
      <c r="D29">
        <v>3</v>
      </c>
      <c r="E29" t="s">
        <v>31</v>
      </c>
      <c r="F29" t="s">
        <v>124</v>
      </c>
      <c r="G29" t="s">
        <v>30</v>
      </c>
      <c r="I29">
        <v>2</v>
      </c>
      <c r="J29" t="s">
        <v>29</v>
      </c>
      <c r="K29" s="1">
        <v>44811</v>
      </c>
      <c r="L29">
        <v>54.8</v>
      </c>
      <c r="M29">
        <v>5.6</v>
      </c>
    </row>
    <row r="30" spans="1:13" hidden="1" x14ac:dyDescent="0.25">
      <c r="A30" t="str">
        <f t="shared" si="0"/>
        <v>2022_Qld_Gatton_Chickpea_DetailedTOSTOS1VarietyStrikerWaterTrtIrrigated</v>
      </c>
      <c r="B30">
        <v>2022001</v>
      </c>
      <c r="C30" t="s">
        <v>24</v>
      </c>
      <c r="D30">
        <v>3</v>
      </c>
      <c r="E30" t="s">
        <v>31</v>
      </c>
      <c r="F30" t="s">
        <v>125</v>
      </c>
      <c r="G30" t="s">
        <v>27</v>
      </c>
      <c r="I30">
        <v>1</v>
      </c>
      <c r="J30" t="s">
        <v>28</v>
      </c>
      <c r="K30" s="1">
        <v>44783</v>
      </c>
      <c r="L30">
        <v>60.9</v>
      </c>
      <c r="M30">
        <v>5.6</v>
      </c>
    </row>
    <row r="31" spans="1:13" hidden="1" x14ac:dyDescent="0.25">
      <c r="A31" t="str">
        <f t="shared" si="0"/>
        <v>2022_Qld_Gatton_Chickpea_DetailedTOSTOS2VarietyStrikerWaterTrtIrrigated</v>
      </c>
      <c r="B31">
        <v>2022001</v>
      </c>
      <c r="C31" t="s">
        <v>24</v>
      </c>
      <c r="D31">
        <v>3</v>
      </c>
      <c r="E31" t="s">
        <v>31</v>
      </c>
      <c r="F31" t="s">
        <v>125</v>
      </c>
      <c r="G31" t="s">
        <v>27</v>
      </c>
      <c r="I31">
        <v>2</v>
      </c>
      <c r="J31" t="s">
        <v>29</v>
      </c>
      <c r="K31" s="1">
        <v>44811</v>
      </c>
      <c r="L31">
        <v>50.2</v>
      </c>
      <c r="M31">
        <v>5.6</v>
      </c>
    </row>
    <row r="32" spans="1:13" hidden="1" x14ac:dyDescent="0.25">
      <c r="A32" t="str">
        <f t="shared" si="0"/>
        <v>2022_Qld_Gatton_Chickpea_DetailedTOSTOS1VarietyStrikerWaterTrtRainFed</v>
      </c>
      <c r="B32">
        <v>2022001</v>
      </c>
      <c r="C32" t="s">
        <v>24</v>
      </c>
      <c r="D32">
        <v>3</v>
      </c>
      <c r="E32" t="s">
        <v>31</v>
      </c>
      <c r="F32" t="s">
        <v>125</v>
      </c>
      <c r="G32" t="s">
        <v>30</v>
      </c>
      <c r="I32">
        <v>1</v>
      </c>
      <c r="J32" t="s">
        <v>28</v>
      </c>
      <c r="K32" s="1">
        <v>44783</v>
      </c>
      <c r="L32">
        <v>63.4</v>
      </c>
      <c r="M32">
        <v>5.6</v>
      </c>
    </row>
    <row r="33" spans="1:13" hidden="1" x14ac:dyDescent="0.25">
      <c r="A33" t="str">
        <f t="shared" si="0"/>
        <v>2022_Qld_Gatton_Chickpea_DetailedTOSTOS2VarietyStrikerWaterTrtRainFed</v>
      </c>
      <c r="B33">
        <v>2022001</v>
      </c>
      <c r="C33" t="s">
        <v>24</v>
      </c>
      <c r="D33">
        <v>3</v>
      </c>
      <c r="E33" t="s">
        <v>31</v>
      </c>
      <c r="F33" t="s">
        <v>125</v>
      </c>
      <c r="G33" t="s">
        <v>30</v>
      </c>
      <c r="I33">
        <v>2</v>
      </c>
      <c r="J33" t="s">
        <v>29</v>
      </c>
      <c r="K33" s="1">
        <v>44811</v>
      </c>
      <c r="L33">
        <v>55.6</v>
      </c>
      <c r="M33">
        <v>5.6</v>
      </c>
    </row>
    <row r="34" spans="1:13" hidden="1" x14ac:dyDescent="0.25">
      <c r="A34" t="str">
        <f t="shared" si="0"/>
        <v>2022_Qld_Gatton_Chickpea_DetailedTOSTOS1VarietyCBA_CaptainWaterTrtIrrigated</v>
      </c>
      <c r="B34">
        <v>2022001</v>
      </c>
      <c r="C34" t="s">
        <v>24</v>
      </c>
      <c r="D34">
        <v>4</v>
      </c>
      <c r="E34" t="s">
        <v>32</v>
      </c>
      <c r="F34" t="s">
        <v>26</v>
      </c>
      <c r="G34" t="s">
        <v>27</v>
      </c>
      <c r="I34">
        <v>1</v>
      </c>
      <c r="J34" t="s">
        <v>28</v>
      </c>
      <c r="K34" s="1">
        <v>44811</v>
      </c>
      <c r="L34">
        <v>350.6</v>
      </c>
      <c r="M34">
        <v>33</v>
      </c>
    </row>
    <row r="35" spans="1:13" hidden="1" x14ac:dyDescent="0.25">
      <c r="A35" t="str">
        <f t="shared" si="0"/>
        <v>2022_Qld_Gatton_Chickpea_DetailedTOSTOS2VarietyCBA_CaptainWaterTrtIrrigated</v>
      </c>
      <c r="B35">
        <v>2022001</v>
      </c>
      <c r="C35" t="s">
        <v>24</v>
      </c>
      <c r="D35">
        <v>4</v>
      </c>
      <c r="E35" t="s">
        <v>32</v>
      </c>
      <c r="F35" t="s">
        <v>26</v>
      </c>
      <c r="G35" t="s">
        <v>27</v>
      </c>
      <c r="I35">
        <v>2</v>
      </c>
      <c r="J35" t="s">
        <v>29</v>
      </c>
      <c r="K35" s="1">
        <v>44840</v>
      </c>
      <c r="L35">
        <v>634</v>
      </c>
      <c r="M35">
        <v>33</v>
      </c>
    </row>
    <row r="36" spans="1:13" hidden="1" x14ac:dyDescent="0.25">
      <c r="A36" t="str">
        <f t="shared" si="0"/>
        <v>2022_Qld_Gatton_Chickpea_DetailedTOSTOS1VarietyCBA_CaptainWaterTrtRainFed</v>
      </c>
      <c r="B36">
        <v>2022001</v>
      </c>
      <c r="C36" t="s">
        <v>24</v>
      </c>
      <c r="D36">
        <v>4</v>
      </c>
      <c r="E36" t="s">
        <v>32</v>
      </c>
      <c r="F36" t="s">
        <v>26</v>
      </c>
      <c r="G36" t="s">
        <v>30</v>
      </c>
      <c r="I36">
        <v>1</v>
      </c>
      <c r="J36" t="s">
        <v>28</v>
      </c>
      <c r="K36" s="1">
        <v>44811</v>
      </c>
      <c r="L36">
        <v>303.10000000000002</v>
      </c>
      <c r="M36">
        <v>33</v>
      </c>
    </row>
    <row r="37" spans="1:13" hidden="1" x14ac:dyDescent="0.25">
      <c r="A37" t="str">
        <f t="shared" si="0"/>
        <v>2022_Qld_Gatton_Chickpea_DetailedTOSTOS2VarietyCBA_CaptainWaterTrtRainFed</v>
      </c>
      <c r="B37">
        <v>2022001</v>
      </c>
      <c r="C37" t="s">
        <v>24</v>
      </c>
      <c r="D37">
        <v>4</v>
      </c>
      <c r="E37" t="s">
        <v>32</v>
      </c>
      <c r="F37" t="s">
        <v>26</v>
      </c>
      <c r="G37" t="s">
        <v>30</v>
      </c>
      <c r="I37">
        <v>2</v>
      </c>
      <c r="J37" t="s">
        <v>29</v>
      </c>
      <c r="K37" s="1">
        <v>44840</v>
      </c>
      <c r="L37">
        <v>719.5</v>
      </c>
      <c r="M37">
        <v>33</v>
      </c>
    </row>
    <row r="38" spans="1:13" hidden="1" x14ac:dyDescent="0.25">
      <c r="A38" t="str">
        <f t="shared" si="0"/>
        <v>2022_Qld_Gatton_Chickpea_DetailedTOSTOS1VarietyDrummondWaterTrtIrrigated</v>
      </c>
      <c r="B38">
        <v>2022001</v>
      </c>
      <c r="C38" t="s">
        <v>24</v>
      </c>
      <c r="D38">
        <v>4</v>
      </c>
      <c r="E38" t="s">
        <v>32</v>
      </c>
      <c r="F38" t="s">
        <v>123</v>
      </c>
      <c r="G38" t="s">
        <v>27</v>
      </c>
      <c r="I38">
        <v>1</v>
      </c>
      <c r="J38" t="s">
        <v>28</v>
      </c>
      <c r="K38" s="1">
        <v>44818</v>
      </c>
      <c r="L38">
        <v>535.9</v>
      </c>
      <c r="M38">
        <v>33</v>
      </c>
    </row>
    <row r="39" spans="1:13" hidden="1" x14ac:dyDescent="0.25">
      <c r="A39" t="str">
        <f t="shared" si="0"/>
        <v>2022_Qld_Gatton_Chickpea_DetailedTOSTOS2VarietyDrummondWaterTrtIrrigated</v>
      </c>
      <c r="B39">
        <v>2022001</v>
      </c>
      <c r="C39" t="s">
        <v>24</v>
      </c>
      <c r="D39">
        <v>4</v>
      </c>
      <c r="E39" t="s">
        <v>32</v>
      </c>
      <c r="F39" t="s">
        <v>123</v>
      </c>
      <c r="G39" t="s">
        <v>27</v>
      </c>
      <c r="I39">
        <v>2</v>
      </c>
      <c r="J39" t="s">
        <v>29</v>
      </c>
      <c r="K39" s="1">
        <v>44840</v>
      </c>
      <c r="L39">
        <v>625.29999999999995</v>
      </c>
      <c r="M39">
        <v>33</v>
      </c>
    </row>
    <row r="40" spans="1:13" hidden="1" x14ac:dyDescent="0.25">
      <c r="A40" t="str">
        <f t="shared" si="0"/>
        <v>2022_Qld_Gatton_Chickpea_DetailedTOSTOS1VarietyDrummondWaterTrtRainFed</v>
      </c>
      <c r="B40">
        <v>2022001</v>
      </c>
      <c r="C40" t="s">
        <v>24</v>
      </c>
      <c r="D40">
        <v>4</v>
      </c>
      <c r="E40" t="s">
        <v>32</v>
      </c>
      <c r="F40" t="s">
        <v>123</v>
      </c>
      <c r="G40" t="s">
        <v>30</v>
      </c>
      <c r="I40">
        <v>1</v>
      </c>
      <c r="J40" t="s">
        <v>28</v>
      </c>
      <c r="K40" s="1">
        <v>44818</v>
      </c>
      <c r="L40">
        <v>593.1</v>
      </c>
      <c r="M40">
        <v>33</v>
      </c>
    </row>
    <row r="41" spans="1:13" hidden="1" x14ac:dyDescent="0.25">
      <c r="A41" t="str">
        <f t="shared" si="0"/>
        <v>2022_Qld_Gatton_Chickpea_DetailedTOSTOS2VarietyDrummondWaterTrtRainFed</v>
      </c>
      <c r="B41">
        <v>2022001</v>
      </c>
      <c r="C41" t="s">
        <v>24</v>
      </c>
      <c r="D41">
        <v>4</v>
      </c>
      <c r="E41" t="s">
        <v>32</v>
      </c>
      <c r="F41" t="s">
        <v>123</v>
      </c>
      <c r="G41" t="s">
        <v>30</v>
      </c>
      <c r="I41">
        <v>2</v>
      </c>
      <c r="J41" t="s">
        <v>29</v>
      </c>
      <c r="K41" s="1">
        <v>44840</v>
      </c>
      <c r="L41">
        <v>668.8</v>
      </c>
      <c r="M41">
        <v>33</v>
      </c>
    </row>
    <row r="42" spans="1:13" hidden="1" x14ac:dyDescent="0.25">
      <c r="A42" t="str">
        <f t="shared" si="0"/>
        <v>2022_Qld_Gatton_Chickpea_DetailedTOSTOS1VarietyHatTrickWaterTrtIrrigated</v>
      </c>
      <c r="B42">
        <v>2022001</v>
      </c>
      <c r="C42" t="s">
        <v>24</v>
      </c>
      <c r="D42">
        <v>4</v>
      </c>
      <c r="E42" t="s">
        <v>32</v>
      </c>
      <c r="F42" t="s">
        <v>124</v>
      </c>
      <c r="G42" t="s">
        <v>27</v>
      </c>
      <c r="I42">
        <v>1</v>
      </c>
      <c r="J42" t="s">
        <v>28</v>
      </c>
      <c r="K42" s="1">
        <v>44818</v>
      </c>
      <c r="L42">
        <v>574</v>
      </c>
      <c r="M42">
        <v>33</v>
      </c>
    </row>
    <row r="43" spans="1:13" hidden="1" x14ac:dyDescent="0.25">
      <c r="A43" t="str">
        <f t="shared" si="0"/>
        <v>2022_Qld_Gatton_Chickpea_DetailedTOSTOS2VarietyHatTrickWaterTrtIrrigated</v>
      </c>
      <c r="B43">
        <v>2022001</v>
      </c>
      <c r="C43" t="s">
        <v>24</v>
      </c>
      <c r="D43">
        <v>4</v>
      </c>
      <c r="E43" t="s">
        <v>32</v>
      </c>
      <c r="F43" t="s">
        <v>124</v>
      </c>
      <c r="G43" t="s">
        <v>27</v>
      </c>
      <c r="I43">
        <v>2</v>
      </c>
      <c r="J43" t="s">
        <v>29</v>
      </c>
      <c r="K43" s="1">
        <v>44840</v>
      </c>
      <c r="L43">
        <v>630.9</v>
      </c>
      <c r="M43">
        <v>33</v>
      </c>
    </row>
    <row r="44" spans="1:13" hidden="1" x14ac:dyDescent="0.25">
      <c r="A44" t="str">
        <f t="shared" si="0"/>
        <v>2022_Qld_Gatton_Chickpea_DetailedTOSTOS1VarietyHatTrickWaterTrtRainFed</v>
      </c>
      <c r="B44">
        <v>2022001</v>
      </c>
      <c r="C44" t="s">
        <v>24</v>
      </c>
      <c r="D44">
        <v>4</v>
      </c>
      <c r="E44" t="s">
        <v>32</v>
      </c>
      <c r="F44" t="s">
        <v>124</v>
      </c>
      <c r="G44" t="s">
        <v>30</v>
      </c>
      <c r="I44">
        <v>1</v>
      </c>
      <c r="J44" t="s">
        <v>28</v>
      </c>
      <c r="K44" s="1">
        <v>44818</v>
      </c>
      <c r="L44">
        <v>534.5</v>
      </c>
      <c r="M44">
        <v>33</v>
      </c>
    </row>
    <row r="45" spans="1:13" hidden="1" x14ac:dyDescent="0.25">
      <c r="A45" t="str">
        <f t="shared" si="0"/>
        <v>2022_Qld_Gatton_Chickpea_DetailedTOSTOS2VarietyHatTrickWaterTrtRainFed</v>
      </c>
      <c r="B45">
        <v>2022001</v>
      </c>
      <c r="C45" t="s">
        <v>24</v>
      </c>
      <c r="D45">
        <v>4</v>
      </c>
      <c r="E45" t="s">
        <v>32</v>
      </c>
      <c r="F45" t="s">
        <v>124</v>
      </c>
      <c r="G45" t="s">
        <v>30</v>
      </c>
      <c r="I45">
        <v>2</v>
      </c>
      <c r="J45" t="s">
        <v>29</v>
      </c>
      <c r="K45" s="1">
        <v>44840</v>
      </c>
      <c r="L45">
        <v>698.5</v>
      </c>
      <c r="M45">
        <v>33</v>
      </c>
    </row>
    <row r="46" spans="1:13" hidden="1" x14ac:dyDescent="0.25">
      <c r="A46" t="str">
        <f t="shared" si="0"/>
        <v>2022_Qld_Gatton_Chickpea_DetailedTOSTOS1VarietyStrikerWaterTrtIrrigated</v>
      </c>
      <c r="B46">
        <v>2022001</v>
      </c>
      <c r="C46" t="s">
        <v>24</v>
      </c>
      <c r="D46">
        <v>4</v>
      </c>
      <c r="E46" t="s">
        <v>32</v>
      </c>
      <c r="F46" t="s">
        <v>125</v>
      </c>
      <c r="G46" t="s">
        <v>27</v>
      </c>
      <c r="I46">
        <v>1</v>
      </c>
      <c r="J46" t="s">
        <v>28</v>
      </c>
      <c r="K46" s="1">
        <v>44811</v>
      </c>
      <c r="L46">
        <v>277.10000000000002</v>
      </c>
      <c r="M46">
        <v>35</v>
      </c>
    </row>
    <row r="47" spans="1:13" hidden="1" x14ac:dyDescent="0.25">
      <c r="A47" t="str">
        <f t="shared" si="0"/>
        <v>2022_Qld_Gatton_Chickpea_DetailedTOSTOS2VarietyStrikerWaterTrtIrrigated</v>
      </c>
      <c r="B47">
        <v>2022001</v>
      </c>
      <c r="C47" t="s">
        <v>24</v>
      </c>
      <c r="D47">
        <v>4</v>
      </c>
      <c r="E47" t="s">
        <v>32</v>
      </c>
      <c r="F47" t="s">
        <v>125</v>
      </c>
      <c r="G47" t="s">
        <v>27</v>
      </c>
      <c r="I47">
        <v>2</v>
      </c>
      <c r="J47" t="s">
        <v>29</v>
      </c>
      <c r="K47" s="1">
        <v>44840</v>
      </c>
      <c r="L47">
        <v>604.79999999999995</v>
      </c>
      <c r="M47">
        <v>33</v>
      </c>
    </row>
    <row r="48" spans="1:13" hidden="1" x14ac:dyDescent="0.25">
      <c r="A48" t="str">
        <f t="shared" si="0"/>
        <v>2022_Qld_Gatton_Chickpea_DetailedTOSTOS1VarietyStrikerWaterTrtRainFed</v>
      </c>
      <c r="B48">
        <v>2022001</v>
      </c>
      <c r="C48" t="s">
        <v>24</v>
      </c>
      <c r="D48">
        <v>4</v>
      </c>
      <c r="E48" t="s">
        <v>32</v>
      </c>
      <c r="F48" t="s">
        <v>125</v>
      </c>
      <c r="G48" t="s">
        <v>30</v>
      </c>
      <c r="I48">
        <v>1</v>
      </c>
      <c r="J48" t="s">
        <v>28</v>
      </c>
      <c r="K48" s="1">
        <v>44811</v>
      </c>
      <c r="L48">
        <v>313.8</v>
      </c>
      <c r="M48">
        <v>33</v>
      </c>
    </row>
    <row r="49" spans="1:13" hidden="1" x14ac:dyDescent="0.25">
      <c r="A49" t="str">
        <f t="shared" si="0"/>
        <v>2022_Qld_Gatton_Chickpea_DetailedTOSTOS2VarietyStrikerWaterTrtRainFed</v>
      </c>
      <c r="B49">
        <v>2022001</v>
      </c>
      <c r="C49" t="s">
        <v>24</v>
      </c>
      <c r="D49">
        <v>4</v>
      </c>
      <c r="E49" t="s">
        <v>32</v>
      </c>
      <c r="F49" t="s">
        <v>125</v>
      </c>
      <c r="G49" t="s">
        <v>30</v>
      </c>
      <c r="I49">
        <v>2</v>
      </c>
      <c r="J49" t="s">
        <v>29</v>
      </c>
      <c r="K49" s="1">
        <v>44840</v>
      </c>
      <c r="L49">
        <v>656.4</v>
      </c>
      <c r="M49">
        <v>33</v>
      </c>
    </row>
    <row r="50" spans="1:13" hidden="1" x14ac:dyDescent="0.25">
      <c r="A50" t="str">
        <f t="shared" si="0"/>
        <v>2022_Qld_Gatton_Chickpea_DetailedTOSTOS1VarietyCBA_CaptainWaterTrtIrrigated</v>
      </c>
      <c r="B50">
        <v>2022001</v>
      </c>
      <c r="C50" t="s">
        <v>24</v>
      </c>
      <c r="D50">
        <v>5</v>
      </c>
      <c r="E50" t="s">
        <v>33</v>
      </c>
      <c r="F50" t="s">
        <v>26</v>
      </c>
      <c r="G50" t="s">
        <v>27</v>
      </c>
      <c r="I50">
        <v>1</v>
      </c>
      <c r="J50" t="s">
        <v>28</v>
      </c>
      <c r="K50" s="1">
        <v>44845</v>
      </c>
      <c r="L50">
        <v>1624</v>
      </c>
      <c r="M50">
        <v>58</v>
      </c>
    </row>
    <row r="51" spans="1:13" hidden="1" x14ac:dyDescent="0.25">
      <c r="A51" t="str">
        <f t="shared" si="0"/>
        <v>2022_Qld_Gatton_Chickpea_DetailedTOSTOS2VarietyCBA_CaptainWaterTrtIrrigated</v>
      </c>
      <c r="B51">
        <v>2022001</v>
      </c>
      <c r="C51" t="s">
        <v>24</v>
      </c>
      <c r="D51">
        <v>5</v>
      </c>
      <c r="E51" t="s">
        <v>33</v>
      </c>
      <c r="F51" t="s">
        <v>26</v>
      </c>
      <c r="G51" t="s">
        <v>27</v>
      </c>
      <c r="I51">
        <v>2</v>
      </c>
      <c r="J51" t="s">
        <v>29</v>
      </c>
      <c r="K51" s="1">
        <v>44872</v>
      </c>
      <c r="L51">
        <v>824.3</v>
      </c>
      <c r="M51">
        <v>58</v>
      </c>
    </row>
    <row r="52" spans="1:13" hidden="1" x14ac:dyDescent="0.25">
      <c r="A52" t="str">
        <f t="shared" si="0"/>
        <v>2022_Qld_Gatton_Chickpea_DetailedTOSTOS1VarietyCBA_CaptainWaterTrtRainFed</v>
      </c>
      <c r="B52">
        <v>2022001</v>
      </c>
      <c r="C52" t="s">
        <v>24</v>
      </c>
      <c r="D52">
        <v>5</v>
      </c>
      <c r="E52" t="s">
        <v>33</v>
      </c>
      <c r="F52" t="s">
        <v>26</v>
      </c>
      <c r="G52" t="s">
        <v>30</v>
      </c>
      <c r="I52">
        <v>1</v>
      </c>
      <c r="J52" t="s">
        <v>28</v>
      </c>
      <c r="K52" s="1">
        <v>44838</v>
      </c>
      <c r="L52">
        <v>1039.4000000000001</v>
      </c>
      <c r="M52">
        <v>58</v>
      </c>
    </row>
    <row r="53" spans="1:13" hidden="1" x14ac:dyDescent="0.25">
      <c r="A53" t="str">
        <f t="shared" si="0"/>
        <v>2022_Qld_Gatton_Chickpea_DetailedTOSTOS2VarietyCBA_CaptainWaterTrtRainFed</v>
      </c>
      <c r="B53">
        <v>2022001</v>
      </c>
      <c r="C53" t="s">
        <v>24</v>
      </c>
      <c r="D53">
        <v>5</v>
      </c>
      <c r="E53" t="s">
        <v>33</v>
      </c>
      <c r="F53" t="s">
        <v>26</v>
      </c>
      <c r="G53" t="s">
        <v>30</v>
      </c>
      <c r="I53">
        <v>2</v>
      </c>
      <c r="J53" t="s">
        <v>29</v>
      </c>
      <c r="K53" s="1">
        <v>44873</v>
      </c>
      <c r="L53">
        <v>844.4</v>
      </c>
      <c r="M53">
        <v>58</v>
      </c>
    </row>
    <row r="54" spans="1:13" hidden="1" x14ac:dyDescent="0.25">
      <c r="A54" t="str">
        <f t="shared" si="0"/>
        <v>2022_Qld_Gatton_Chickpea_DetailedTOSTOS1VarietyDrummondWaterTrtIrrigated</v>
      </c>
      <c r="B54">
        <v>2022001</v>
      </c>
      <c r="C54" t="s">
        <v>24</v>
      </c>
      <c r="D54">
        <v>5</v>
      </c>
      <c r="E54" t="s">
        <v>33</v>
      </c>
      <c r="F54" t="s">
        <v>123</v>
      </c>
      <c r="G54" t="s">
        <v>27</v>
      </c>
      <c r="I54">
        <v>1</v>
      </c>
      <c r="J54" t="s">
        <v>28</v>
      </c>
      <c r="K54" s="1">
        <v>44845</v>
      </c>
      <c r="L54">
        <v>1550</v>
      </c>
      <c r="M54">
        <v>57</v>
      </c>
    </row>
    <row r="55" spans="1:13" hidden="1" x14ac:dyDescent="0.25">
      <c r="A55" t="str">
        <f t="shared" si="0"/>
        <v>2022_Qld_Gatton_Chickpea_DetailedTOSTOS2VarietyDrummondWaterTrtIrrigated</v>
      </c>
      <c r="B55">
        <v>2022001</v>
      </c>
      <c r="C55" t="s">
        <v>24</v>
      </c>
      <c r="D55">
        <v>5</v>
      </c>
      <c r="E55" t="s">
        <v>33</v>
      </c>
      <c r="F55" t="s">
        <v>123</v>
      </c>
      <c r="G55" t="s">
        <v>27</v>
      </c>
      <c r="I55">
        <v>2</v>
      </c>
      <c r="J55" t="s">
        <v>29</v>
      </c>
      <c r="K55" s="1">
        <v>44872</v>
      </c>
      <c r="L55">
        <v>786.2</v>
      </c>
      <c r="M55">
        <v>58</v>
      </c>
    </row>
    <row r="56" spans="1:13" hidden="1" x14ac:dyDescent="0.25">
      <c r="A56" t="str">
        <f t="shared" si="0"/>
        <v>2022_Qld_Gatton_Chickpea_DetailedTOSTOS1VarietyDrummondWaterTrtRainFed</v>
      </c>
      <c r="B56">
        <v>2022001</v>
      </c>
      <c r="C56" t="s">
        <v>24</v>
      </c>
      <c r="D56">
        <v>5</v>
      </c>
      <c r="E56" t="s">
        <v>33</v>
      </c>
      <c r="F56" t="s">
        <v>123</v>
      </c>
      <c r="G56" t="s">
        <v>30</v>
      </c>
      <c r="I56">
        <v>1</v>
      </c>
      <c r="J56" t="s">
        <v>28</v>
      </c>
      <c r="K56" s="1">
        <v>44838</v>
      </c>
      <c r="L56">
        <v>983.3</v>
      </c>
      <c r="M56">
        <v>57</v>
      </c>
    </row>
    <row r="57" spans="1:13" hidden="1" x14ac:dyDescent="0.25">
      <c r="A57" t="str">
        <f t="shared" si="0"/>
        <v>2022_Qld_Gatton_Chickpea_DetailedTOSTOS2VarietyDrummondWaterTrtRainFed</v>
      </c>
      <c r="B57">
        <v>2022001</v>
      </c>
      <c r="C57" t="s">
        <v>24</v>
      </c>
      <c r="D57">
        <v>5</v>
      </c>
      <c r="E57" t="s">
        <v>33</v>
      </c>
      <c r="F57" t="s">
        <v>123</v>
      </c>
      <c r="G57" t="s">
        <v>30</v>
      </c>
      <c r="I57">
        <v>2</v>
      </c>
      <c r="J57" t="s">
        <v>29</v>
      </c>
      <c r="K57" s="1">
        <v>44873</v>
      </c>
      <c r="L57">
        <v>702.3</v>
      </c>
      <c r="M57">
        <v>58</v>
      </c>
    </row>
    <row r="58" spans="1:13" hidden="1" x14ac:dyDescent="0.25">
      <c r="A58" t="str">
        <f t="shared" si="0"/>
        <v>2022_Qld_Gatton_Chickpea_DetailedTOSTOS1VarietyHatTrickWaterTrtIrrigated</v>
      </c>
      <c r="B58">
        <v>2022001</v>
      </c>
      <c r="C58" t="s">
        <v>24</v>
      </c>
      <c r="D58">
        <v>5</v>
      </c>
      <c r="E58" t="s">
        <v>33</v>
      </c>
      <c r="F58" t="s">
        <v>124</v>
      </c>
      <c r="G58" t="s">
        <v>27</v>
      </c>
      <c r="I58">
        <v>1</v>
      </c>
      <c r="J58" t="s">
        <v>28</v>
      </c>
      <c r="K58" s="1">
        <v>44845</v>
      </c>
      <c r="L58">
        <v>1312.8</v>
      </c>
      <c r="M58">
        <v>63</v>
      </c>
    </row>
    <row r="59" spans="1:13" hidden="1" x14ac:dyDescent="0.25">
      <c r="A59" t="str">
        <f t="shared" si="0"/>
        <v>2022_Qld_Gatton_Chickpea_DetailedTOSTOS2VarietyHatTrickWaterTrtIrrigated</v>
      </c>
      <c r="B59">
        <v>2022001</v>
      </c>
      <c r="C59" t="s">
        <v>24</v>
      </c>
      <c r="D59">
        <v>5</v>
      </c>
      <c r="E59" t="s">
        <v>33</v>
      </c>
      <c r="F59" t="s">
        <v>124</v>
      </c>
      <c r="G59" t="s">
        <v>27</v>
      </c>
      <c r="I59">
        <v>2</v>
      </c>
      <c r="J59" t="s">
        <v>29</v>
      </c>
      <c r="K59" s="1">
        <v>44872</v>
      </c>
      <c r="L59">
        <v>895.9</v>
      </c>
      <c r="M59">
        <v>58</v>
      </c>
    </row>
    <row r="60" spans="1:13" hidden="1" x14ac:dyDescent="0.25">
      <c r="A60" t="str">
        <f t="shared" si="0"/>
        <v>2022_Qld_Gatton_Chickpea_DetailedTOSTOS1VarietyHatTrickWaterTrtRainFed</v>
      </c>
      <c r="B60">
        <v>2022001</v>
      </c>
      <c r="C60" t="s">
        <v>24</v>
      </c>
      <c r="D60">
        <v>5</v>
      </c>
      <c r="E60" t="s">
        <v>33</v>
      </c>
      <c r="F60" t="s">
        <v>124</v>
      </c>
      <c r="G60" t="s">
        <v>30</v>
      </c>
      <c r="I60">
        <v>1</v>
      </c>
      <c r="J60" t="s">
        <v>28</v>
      </c>
      <c r="K60" s="1">
        <v>44838</v>
      </c>
      <c r="L60">
        <v>979.6</v>
      </c>
      <c r="M60">
        <v>57</v>
      </c>
    </row>
    <row r="61" spans="1:13" hidden="1" x14ac:dyDescent="0.25">
      <c r="A61" t="str">
        <f t="shared" si="0"/>
        <v>2022_Qld_Gatton_Chickpea_DetailedTOSTOS2VarietyHatTrickWaterTrtRainFed</v>
      </c>
      <c r="B61">
        <v>2022001</v>
      </c>
      <c r="C61" t="s">
        <v>24</v>
      </c>
      <c r="D61">
        <v>5</v>
      </c>
      <c r="E61" t="s">
        <v>33</v>
      </c>
      <c r="F61" t="s">
        <v>124</v>
      </c>
      <c r="G61" t="s">
        <v>30</v>
      </c>
      <c r="I61">
        <v>2</v>
      </c>
      <c r="J61" t="s">
        <v>29</v>
      </c>
      <c r="K61" s="1">
        <v>44873</v>
      </c>
      <c r="L61">
        <v>780.3</v>
      </c>
      <c r="M61">
        <v>58</v>
      </c>
    </row>
    <row r="62" spans="1:13" hidden="1" x14ac:dyDescent="0.25">
      <c r="A62" t="str">
        <f t="shared" si="0"/>
        <v>2022_Qld_Gatton_Chickpea_DetailedTOSTOS1VarietyStrikerWaterTrtIrrigated</v>
      </c>
      <c r="B62">
        <v>2022001</v>
      </c>
      <c r="C62" t="s">
        <v>24</v>
      </c>
      <c r="D62">
        <v>5</v>
      </c>
      <c r="E62" t="s">
        <v>33</v>
      </c>
      <c r="F62" t="s">
        <v>125</v>
      </c>
      <c r="G62" t="s">
        <v>27</v>
      </c>
      <c r="I62">
        <v>1</v>
      </c>
      <c r="J62" t="s">
        <v>28</v>
      </c>
      <c r="K62" s="1">
        <v>44845</v>
      </c>
      <c r="L62">
        <v>1340.2</v>
      </c>
      <c r="M62">
        <v>58</v>
      </c>
    </row>
    <row r="63" spans="1:13" hidden="1" x14ac:dyDescent="0.25">
      <c r="A63" t="str">
        <f t="shared" si="0"/>
        <v>2022_Qld_Gatton_Chickpea_DetailedTOSTOS2VarietyStrikerWaterTrtIrrigated</v>
      </c>
      <c r="B63">
        <v>2022001</v>
      </c>
      <c r="C63" t="s">
        <v>24</v>
      </c>
      <c r="D63">
        <v>5</v>
      </c>
      <c r="E63" t="s">
        <v>33</v>
      </c>
      <c r="F63" t="s">
        <v>125</v>
      </c>
      <c r="G63" t="s">
        <v>27</v>
      </c>
      <c r="I63">
        <v>2</v>
      </c>
      <c r="J63" t="s">
        <v>29</v>
      </c>
      <c r="K63" s="1">
        <v>44872</v>
      </c>
      <c r="L63">
        <v>916.2</v>
      </c>
      <c r="M63">
        <v>58</v>
      </c>
    </row>
    <row r="64" spans="1:13" hidden="1" x14ac:dyDescent="0.25">
      <c r="A64" t="str">
        <f t="shared" si="0"/>
        <v>2022_Qld_Gatton_Chickpea_DetailedTOSTOS1VarietyStrikerWaterTrtRainFed</v>
      </c>
      <c r="B64">
        <v>2022001</v>
      </c>
      <c r="C64" t="s">
        <v>24</v>
      </c>
      <c r="D64">
        <v>5</v>
      </c>
      <c r="E64" t="s">
        <v>33</v>
      </c>
      <c r="F64" t="s">
        <v>125</v>
      </c>
      <c r="G64" t="s">
        <v>30</v>
      </c>
      <c r="I64">
        <v>1</v>
      </c>
      <c r="J64" t="s">
        <v>28</v>
      </c>
      <c r="K64" s="1">
        <v>44838</v>
      </c>
      <c r="L64">
        <v>967.9</v>
      </c>
      <c r="M64">
        <v>58</v>
      </c>
    </row>
    <row r="65" spans="1:25" hidden="1" x14ac:dyDescent="0.25">
      <c r="A65" t="str">
        <f t="shared" si="0"/>
        <v>2022_Qld_Gatton_Chickpea_DetailedTOSTOS2VarietyStrikerWaterTrtRainFed</v>
      </c>
      <c r="B65">
        <v>2022001</v>
      </c>
      <c r="C65" t="s">
        <v>24</v>
      </c>
      <c r="D65">
        <v>5</v>
      </c>
      <c r="E65" t="s">
        <v>33</v>
      </c>
      <c r="F65" t="s">
        <v>125</v>
      </c>
      <c r="G65" t="s">
        <v>30</v>
      </c>
      <c r="I65">
        <v>2</v>
      </c>
      <c r="J65" t="s">
        <v>29</v>
      </c>
      <c r="K65" s="1">
        <v>44873</v>
      </c>
      <c r="L65">
        <v>870</v>
      </c>
      <c r="M65">
        <v>58</v>
      </c>
    </row>
    <row r="66" spans="1:25" hidden="1" x14ac:dyDescent="0.25">
      <c r="A66" t="str">
        <f t="shared" si="0"/>
        <v>2022_Qld_Gatton_Chickpea_DetailedTOSTOS1VarietyCBA_CaptainWaterTrtIrrigated</v>
      </c>
      <c r="B66">
        <v>2022001</v>
      </c>
      <c r="C66" t="s">
        <v>24</v>
      </c>
      <c r="D66">
        <v>6</v>
      </c>
      <c r="E66" t="s">
        <v>34</v>
      </c>
      <c r="F66" t="s">
        <v>26</v>
      </c>
      <c r="G66" t="s">
        <v>27</v>
      </c>
      <c r="I66">
        <v>1</v>
      </c>
      <c r="J66" t="s">
        <v>28</v>
      </c>
      <c r="K66" s="1">
        <v>44879</v>
      </c>
      <c r="L66">
        <v>1600.2</v>
      </c>
      <c r="M66">
        <v>72</v>
      </c>
      <c r="N66">
        <v>0.25600000000000001</v>
      </c>
      <c r="O66">
        <v>2.1999999999999999E-2</v>
      </c>
      <c r="P66">
        <v>1929</v>
      </c>
      <c r="Q66">
        <v>540</v>
      </c>
      <c r="T66">
        <v>2336</v>
      </c>
      <c r="U66">
        <v>220</v>
      </c>
      <c r="X66">
        <v>416</v>
      </c>
      <c r="Y66">
        <v>34</v>
      </c>
    </row>
    <row r="67" spans="1:25" hidden="1" x14ac:dyDescent="0.25">
      <c r="A67" t="str">
        <f t="shared" ref="A67:A130" si="1">C67&amp;"TOSTOS"&amp;I67&amp;"Variety"&amp;F67&amp;"WaterTrt"&amp;G67&amp;IF(H67="","","Agronomy"&amp;H67)</f>
        <v>2022_Qld_Gatton_Chickpea_DetailedTOSTOS2VarietyCBA_CaptainWaterTrtIrrigated</v>
      </c>
      <c r="B67">
        <v>2022001</v>
      </c>
      <c r="C67" t="s">
        <v>24</v>
      </c>
      <c r="D67">
        <v>6</v>
      </c>
      <c r="E67" t="s">
        <v>34</v>
      </c>
      <c r="F67" t="s">
        <v>26</v>
      </c>
      <c r="G67" t="s">
        <v>27</v>
      </c>
      <c r="I67">
        <v>2</v>
      </c>
      <c r="J67" t="s">
        <v>29</v>
      </c>
      <c r="K67" s="1">
        <v>44904</v>
      </c>
      <c r="L67">
        <v>1201.3</v>
      </c>
      <c r="M67">
        <v>72</v>
      </c>
      <c r="N67">
        <v>0.16</v>
      </c>
      <c r="O67">
        <v>2.1999999999999999E-2</v>
      </c>
      <c r="P67">
        <v>986</v>
      </c>
      <c r="Q67">
        <v>390</v>
      </c>
      <c r="T67">
        <v>875</v>
      </c>
      <c r="U67">
        <v>220</v>
      </c>
      <c r="X67">
        <v>190</v>
      </c>
      <c r="Y67">
        <v>34</v>
      </c>
    </row>
    <row r="68" spans="1:25" hidden="1" x14ac:dyDescent="0.25">
      <c r="A68" t="str">
        <f t="shared" si="1"/>
        <v>2022_Qld_Gatton_Chickpea_DetailedTOSTOS1VarietyCBA_CaptainWaterTrtRainFed</v>
      </c>
      <c r="B68">
        <v>2022001</v>
      </c>
      <c r="C68" t="s">
        <v>24</v>
      </c>
      <c r="D68">
        <v>6</v>
      </c>
      <c r="E68" t="s">
        <v>34</v>
      </c>
      <c r="F68" t="s">
        <v>26</v>
      </c>
      <c r="G68" t="s">
        <v>30</v>
      </c>
      <c r="I68">
        <v>1</v>
      </c>
      <c r="J68" t="s">
        <v>28</v>
      </c>
      <c r="K68" s="1">
        <v>44872</v>
      </c>
      <c r="L68">
        <v>1179.4000000000001</v>
      </c>
      <c r="M68">
        <v>72</v>
      </c>
      <c r="N68">
        <v>0.41</v>
      </c>
      <c r="O68">
        <v>1.7000000000000001E-2</v>
      </c>
      <c r="P68">
        <v>2592</v>
      </c>
      <c r="Q68">
        <v>110</v>
      </c>
      <c r="T68">
        <v>3034</v>
      </c>
      <c r="U68">
        <v>150</v>
      </c>
      <c r="X68">
        <v>473</v>
      </c>
      <c r="Y68">
        <v>34</v>
      </c>
    </row>
    <row r="69" spans="1:25" hidden="1" x14ac:dyDescent="0.25">
      <c r="A69" t="str">
        <f t="shared" si="1"/>
        <v>2022_Qld_Gatton_Chickpea_DetailedTOSTOS2VarietyCBA_CaptainWaterTrtRainFed</v>
      </c>
      <c r="B69">
        <v>2022001</v>
      </c>
      <c r="C69" t="s">
        <v>24</v>
      </c>
      <c r="D69">
        <v>6</v>
      </c>
      <c r="E69" t="s">
        <v>34</v>
      </c>
      <c r="F69" t="s">
        <v>26</v>
      </c>
      <c r="G69" t="s">
        <v>30</v>
      </c>
      <c r="I69">
        <v>2</v>
      </c>
      <c r="J69" t="s">
        <v>29</v>
      </c>
      <c r="K69" s="1">
        <v>44872</v>
      </c>
      <c r="P69">
        <v>857</v>
      </c>
      <c r="Q69">
        <v>120</v>
      </c>
      <c r="T69">
        <v>1191</v>
      </c>
      <c r="U69">
        <v>150</v>
      </c>
      <c r="X69">
        <v>254</v>
      </c>
      <c r="Y69">
        <v>34</v>
      </c>
    </row>
    <row r="70" spans="1:25" hidden="1" x14ac:dyDescent="0.25">
      <c r="A70" t="str">
        <f t="shared" si="1"/>
        <v>2022_Qld_Gatton_Chickpea_DetailedTOSTOS1VarietyDrummondWaterTrtIrrigated</v>
      </c>
      <c r="B70">
        <v>2022001</v>
      </c>
      <c r="C70" t="s">
        <v>24</v>
      </c>
      <c r="D70">
        <v>6</v>
      </c>
      <c r="E70" t="s">
        <v>34</v>
      </c>
      <c r="F70" t="s">
        <v>123</v>
      </c>
      <c r="G70" t="s">
        <v>27</v>
      </c>
      <c r="I70">
        <v>1</v>
      </c>
      <c r="J70" t="s">
        <v>28</v>
      </c>
      <c r="K70" s="1">
        <v>44879</v>
      </c>
      <c r="L70">
        <v>1694.6</v>
      </c>
      <c r="M70">
        <v>71</v>
      </c>
      <c r="N70">
        <v>0.307</v>
      </c>
      <c r="O70">
        <v>2.1999999999999999E-2</v>
      </c>
      <c r="P70">
        <v>2255</v>
      </c>
      <c r="Q70">
        <v>390</v>
      </c>
      <c r="T70">
        <v>3039</v>
      </c>
      <c r="U70">
        <v>220</v>
      </c>
      <c r="X70">
        <v>524</v>
      </c>
      <c r="Y70">
        <v>34</v>
      </c>
    </row>
    <row r="71" spans="1:25" hidden="1" x14ac:dyDescent="0.25">
      <c r="A71" t="str">
        <f t="shared" si="1"/>
        <v>2022_Qld_Gatton_Chickpea_DetailedTOSTOS2VarietyDrummondWaterTrtIrrigated</v>
      </c>
      <c r="B71">
        <v>2022001</v>
      </c>
      <c r="C71" t="s">
        <v>24</v>
      </c>
      <c r="D71">
        <v>6</v>
      </c>
      <c r="E71" t="s">
        <v>34</v>
      </c>
      <c r="F71" t="s">
        <v>123</v>
      </c>
      <c r="G71" t="s">
        <v>27</v>
      </c>
      <c r="I71">
        <v>2</v>
      </c>
      <c r="J71" t="s">
        <v>29</v>
      </c>
      <c r="K71" s="1">
        <v>44904</v>
      </c>
      <c r="L71">
        <v>1109.2</v>
      </c>
      <c r="M71">
        <v>72</v>
      </c>
      <c r="N71">
        <v>0.14299999999999999</v>
      </c>
      <c r="O71">
        <v>2.1999999999999999E-2</v>
      </c>
      <c r="P71">
        <v>636</v>
      </c>
      <c r="Q71">
        <v>540</v>
      </c>
      <c r="T71">
        <v>766</v>
      </c>
      <c r="U71">
        <v>220</v>
      </c>
      <c r="X71">
        <v>159</v>
      </c>
      <c r="Y71">
        <v>34</v>
      </c>
    </row>
    <row r="72" spans="1:25" hidden="1" x14ac:dyDescent="0.25">
      <c r="A72" t="str">
        <f t="shared" si="1"/>
        <v>2022_Qld_Gatton_Chickpea_DetailedTOSTOS1VarietyDrummondWaterTrtRainFed</v>
      </c>
      <c r="B72">
        <v>2022001</v>
      </c>
      <c r="C72" t="s">
        <v>24</v>
      </c>
      <c r="D72">
        <v>6</v>
      </c>
      <c r="E72" t="s">
        <v>34</v>
      </c>
      <c r="F72" t="s">
        <v>123</v>
      </c>
      <c r="G72" t="s">
        <v>30</v>
      </c>
      <c r="I72">
        <v>1</v>
      </c>
      <c r="J72" t="s">
        <v>28</v>
      </c>
      <c r="K72" s="1">
        <v>44872</v>
      </c>
      <c r="L72">
        <v>1206.4000000000001</v>
      </c>
      <c r="M72">
        <v>71</v>
      </c>
      <c r="N72">
        <v>0.34300000000000003</v>
      </c>
      <c r="O72">
        <v>1.7000000000000001E-2</v>
      </c>
      <c r="P72">
        <v>2540</v>
      </c>
      <c r="Q72">
        <v>110</v>
      </c>
      <c r="T72">
        <v>2580</v>
      </c>
      <c r="U72">
        <v>150</v>
      </c>
      <c r="X72">
        <v>415</v>
      </c>
      <c r="Y72">
        <v>34</v>
      </c>
    </row>
    <row r="73" spans="1:25" hidden="1" x14ac:dyDescent="0.25">
      <c r="A73" t="str">
        <f t="shared" si="1"/>
        <v>2022_Qld_Gatton_Chickpea_DetailedTOSTOS2VarietyDrummondWaterTrtRainFed</v>
      </c>
      <c r="B73">
        <v>2022001</v>
      </c>
      <c r="C73" t="s">
        <v>24</v>
      </c>
      <c r="D73">
        <v>6</v>
      </c>
      <c r="E73" t="s">
        <v>34</v>
      </c>
      <c r="F73" t="s">
        <v>123</v>
      </c>
      <c r="G73" t="s">
        <v>30</v>
      </c>
      <c r="I73">
        <v>2</v>
      </c>
      <c r="J73" t="s">
        <v>29</v>
      </c>
      <c r="K73" s="1">
        <v>44872</v>
      </c>
      <c r="P73">
        <v>733</v>
      </c>
      <c r="Q73">
        <v>130</v>
      </c>
      <c r="T73">
        <v>939</v>
      </c>
      <c r="U73">
        <v>150</v>
      </c>
      <c r="X73">
        <v>200</v>
      </c>
      <c r="Y73">
        <v>34</v>
      </c>
    </row>
    <row r="74" spans="1:25" hidden="1" x14ac:dyDescent="0.25">
      <c r="A74" t="str">
        <f t="shared" si="1"/>
        <v>2022_Qld_Gatton_Chickpea_DetailedTOSTOS1VarietyHatTrickWaterTrtIrrigated</v>
      </c>
      <c r="B74">
        <v>2022001</v>
      </c>
      <c r="C74" t="s">
        <v>24</v>
      </c>
      <c r="D74">
        <v>6</v>
      </c>
      <c r="E74" t="s">
        <v>34</v>
      </c>
      <c r="F74" t="s">
        <v>124</v>
      </c>
      <c r="G74" t="s">
        <v>27</v>
      </c>
      <c r="I74">
        <v>1</v>
      </c>
      <c r="J74" t="s">
        <v>28</v>
      </c>
      <c r="K74" s="1">
        <v>44879</v>
      </c>
      <c r="L74">
        <v>1514</v>
      </c>
      <c r="M74">
        <v>77</v>
      </c>
      <c r="N74">
        <v>0.21099999999999999</v>
      </c>
      <c r="O74">
        <v>2.5000000000000001E-2</v>
      </c>
      <c r="P74">
        <v>3370</v>
      </c>
      <c r="Q74">
        <v>540</v>
      </c>
      <c r="T74">
        <v>1852</v>
      </c>
      <c r="U74">
        <v>250</v>
      </c>
      <c r="X74">
        <v>325</v>
      </c>
      <c r="Y74">
        <v>38</v>
      </c>
    </row>
    <row r="75" spans="1:25" hidden="1" x14ac:dyDescent="0.25">
      <c r="A75" t="str">
        <f t="shared" si="1"/>
        <v>2022_Qld_Gatton_Chickpea_DetailedTOSTOS2VarietyHatTrickWaterTrtIrrigated</v>
      </c>
      <c r="B75">
        <v>2022001</v>
      </c>
      <c r="C75" t="s">
        <v>24</v>
      </c>
      <c r="D75">
        <v>6</v>
      </c>
      <c r="E75" t="s">
        <v>34</v>
      </c>
      <c r="F75" t="s">
        <v>124</v>
      </c>
      <c r="G75" t="s">
        <v>27</v>
      </c>
      <c r="I75">
        <v>2</v>
      </c>
      <c r="J75" t="s">
        <v>29</v>
      </c>
      <c r="K75" s="1">
        <v>44904</v>
      </c>
      <c r="L75">
        <v>1095.5999999999999</v>
      </c>
      <c r="M75">
        <v>72</v>
      </c>
      <c r="N75">
        <v>0.17799999999999999</v>
      </c>
      <c r="O75">
        <v>2.1999999999999999E-2</v>
      </c>
      <c r="P75">
        <v>1942</v>
      </c>
      <c r="Q75">
        <v>390</v>
      </c>
      <c r="T75">
        <v>1014</v>
      </c>
      <c r="U75">
        <v>220</v>
      </c>
      <c r="X75">
        <v>200</v>
      </c>
      <c r="Y75">
        <v>34</v>
      </c>
    </row>
    <row r="76" spans="1:25" hidden="1" x14ac:dyDescent="0.25">
      <c r="A76" t="str">
        <f t="shared" si="1"/>
        <v>2022_Qld_Gatton_Chickpea_DetailedTOSTOS1VarietyHatTrickWaterTrtRainFed</v>
      </c>
      <c r="B76">
        <v>2022001</v>
      </c>
      <c r="C76" t="s">
        <v>24</v>
      </c>
      <c r="D76">
        <v>6</v>
      </c>
      <c r="E76" t="s">
        <v>34</v>
      </c>
      <c r="F76" t="s">
        <v>124</v>
      </c>
      <c r="G76" t="s">
        <v>30</v>
      </c>
      <c r="I76">
        <v>1</v>
      </c>
      <c r="J76" t="s">
        <v>28</v>
      </c>
      <c r="K76" s="1">
        <v>44872</v>
      </c>
      <c r="L76">
        <v>1341.5</v>
      </c>
      <c r="M76">
        <v>71</v>
      </c>
      <c r="N76">
        <v>0.34699999999999998</v>
      </c>
      <c r="O76">
        <v>1.7000000000000001E-2</v>
      </c>
      <c r="P76">
        <v>3924</v>
      </c>
      <c r="Q76">
        <v>110</v>
      </c>
      <c r="T76">
        <v>2910</v>
      </c>
      <c r="U76">
        <v>150</v>
      </c>
      <c r="X76">
        <v>467</v>
      </c>
      <c r="Y76">
        <v>34</v>
      </c>
    </row>
    <row r="77" spans="1:25" hidden="1" x14ac:dyDescent="0.25">
      <c r="A77" t="str">
        <f t="shared" si="1"/>
        <v>2022_Qld_Gatton_Chickpea_DetailedTOSTOS2VarietyHatTrickWaterTrtRainFed</v>
      </c>
      <c r="B77">
        <v>2022001</v>
      </c>
      <c r="C77" t="s">
        <v>24</v>
      </c>
      <c r="D77">
        <v>6</v>
      </c>
      <c r="E77" t="s">
        <v>34</v>
      </c>
      <c r="F77" t="s">
        <v>124</v>
      </c>
      <c r="G77" t="s">
        <v>30</v>
      </c>
      <c r="I77">
        <v>2</v>
      </c>
      <c r="J77" t="s">
        <v>29</v>
      </c>
      <c r="K77" s="1">
        <v>44872</v>
      </c>
      <c r="T77">
        <v>1005</v>
      </c>
      <c r="U77">
        <v>150</v>
      </c>
      <c r="X77">
        <v>202</v>
      </c>
      <c r="Y77">
        <v>34</v>
      </c>
    </row>
    <row r="78" spans="1:25" hidden="1" x14ac:dyDescent="0.25">
      <c r="A78" t="str">
        <f t="shared" si="1"/>
        <v>2022_Qld_Gatton_Chickpea_DetailedTOSTOS1VarietyStrikerWaterTrtIrrigated</v>
      </c>
      <c r="B78">
        <v>2022001</v>
      </c>
      <c r="C78" t="s">
        <v>24</v>
      </c>
      <c r="D78">
        <v>6</v>
      </c>
      <c r="E78" t="s">
        <v>34</v>
      </c>
      <c r="F78" t="s">
        <v>125</v>
      </c>
      <c r="G78" t="s">
        <v>27</v>
      </c>
      <c r="I78">
        <v>1</v>
      </c>
      <c r="J78" t="s">
        <v>28</v>
      </c>
      <c r="K78" s="1">
        <v>44879</v>
      </c>
      <c r="L78">
        <v>1563.1</v>
      </c>
      <c r="M78">
        <v>72</v>
      </c>
      <c r="N78">
        <v>0.24099999999999999</v>
      </c>
      <c r="O78">
        <v>2.1999999999999999E-2</v>
      </c>
      <c r="T78">
        <v>1924</v>
      </c>
      <c r="U78">
        <v>220</v>
      </c>
      <c r="X78">
        <v>366</v>
      </c>
      <c r="Y78">
        <v>34</v>
      </c>
    </row>
    <row r="79" spans="1:25" hidden="1" x14ac:dyDescent="0.25">
      <c r="A79" t="str">
        <f t="shared" si="1"/>
        <v>2022_Qld_Gatton_Chickpea_DetailedTOSTOS2VarietyStrikerWaterTrtIrrigated</v>
      </c>
      <c r="B79">
        <v>2022001</v>
      </c>
      <c r="C79" t="s">
        <v>24</v>
      </c>
      <c r="D79">
        <v>6</v>
      </c>
      <c r="E79" t="s">
        <v>34</v>
      </c>
      <c r="F79" t="s">
        <v>125</v>
      </c>
      <c r="G79" t="s">
        <v>27</v>
      </c>
      <c r="I79">
        <v>2</v>
      </c>
      <c r="J79" t="s">
        <v>29</v>
      </c>
      <c r="K79" s="1">
        <v>44904</v>
      </c>
      <c r="L79">
        <v>1073.2</v>
      </c>
      <c r="M79">
        <v>72</v>
      </c>
      <c r="N79">
        <v>0.17899999999999999</v>
      </c>
      <c r="O79">
        <v>2.1999999999999999E-2</v>
      </c>
      <c r="P79">
        <v>871</v>
      </c>
      <c r="Q79">
        <v>540</v>
      </c>
      <c r="T79">
        <v>792</v>
      </c>
      <c r="U79">
        <v>220</v>
      </c>
      <c r="X79">
        <v>196</v>
      </c>
      <c r="Y79">
        <v>34</v>
      </c>
    </row>
    <row r="80" spans="1:25" hidden="1" x14ac:dyDescent="0.25">
      <c r="A80" t="str">
        <f t="shared" si="1"/>
        <v>2022_Qld_Gatton_Chickpea_DetailedTOSTOS1VarietyStrikerWaterTrtRainFed</v>
      </c>
      <c r="B80">
        <v>2022001</v>
      </c>
      <c r="C80" t="s">
        <v>24</v>
      </c>
      <c r="D80">
        <v>6</v>
      </c>
      <c r="E80" t="s">
        <v>34</v>
      </c>
      <c r="F80" t="s">
        <v>125</v>
      </c>
      <c r="G80" t="s">
        <v>30</v>
      </c>
      <c r="I80">
        <v>1</v>
      </c>
      <c r="J80" t="s">
        <v>28</v>
      </c>
      <c r="K80" s="1">
        <v>44872</v>
      </c>
      <c r="L80">
        <v>1045.5</v>
      </c>
      <c r="M80">
        <v>72</v>
      </c>
      <c r="N80">
        <v>0.379</v>
      </c>
      <c r="O80">
        <v>1.7000000000000001E-2</v>
      </c>
      <c r="P80">
        <v>1688</v>
      </c>
      <c r="Q80">
        <v>110</v>
      </c>
      <c r="T80">
        <v>2012</v>
      </c>
      <c r="U80">
        <v>160</v>
      </c>
      <c r="X80">
        <v>407</v>
      </c>
      <c r="Y80">
        <v>34</v>
      </c>
    </row>
    <row r="81" spans="1:25" hidden="1" x14ac:dyDescent="0.25">
      <c r="A81" t="str">
        <f t="shared" si="1"/>
        <v>2022_Qld_Gatton_Chickpea_DetailedTOSTOS2VarietyStrikerWaterTrtRainFed</v>
      </c>
      <c r="B81">
        <v>2022001</v>
      </c>
      <c r="C81" t="s">
        <v>24</v>
      </c>
      <c r="D81">
        <v>6</v>
      </c>
      <c r="E81" t="s">
        <v>34</v>
      </c>
      <c r="F81" t="s">
        <v>125</v>
      </c>
      <c r="G81" t="s">
        <v>30</v>
      </c>
      <c r="I81">
        <v>2</v>
      </c>
      <c r="J81" t="s">
        <v>29</v>
      </c>
      <c r="K81" s="1">
        <v>44872</v>
      </c>
      <c r="P81">
        <v>91</v>
      </c>
      <c r="Q81">
        <v>120</v>
      </c>
      <c r="T81">
        <v>950</v>
      </c>
      <c r="U81">
        <v>150</v>
      </c>
      <c r="X81">
        <v>220</v>
      </c>
      <c r="Y81">
        <v>34</v>
      </c>
    </row>
    <row r="82" spans="1:25" hidden="1" x14ac:dyDescent="0.25">
      <c r="A82" t="str">
        <f t="shared" si="1"/>
        <v>2022_Vic_Kalkee_Chickpea_DetailedTOSTOS1VarietyCBA_CaptainWaterTrtRainFed</v>
      </c>
      <c r="B82">
        <v>2022002</v>
      </c>
      <c r="C82" t="s">
        <v>35</v>
      </c>
      <c r="D82">
        <v>2</v>
      </c>
      <c r="E82" t="s">
        <v>25</v>
      </c>
      <c r="F82" t="s">
        <v>26</v>
      </c>
      <c r="G82" t="s">
        <v>30</v>
      </c>
      <c r="I82">
        <v>1</v>
      </c>
      <c r="J82" t="s">
        <v>36</v>
      </c>
      <c r="K82" s="1">
        <v>44763</v>
      </c>
      <c r="L82">
        <v>5.3</v>
      </c>
      <c r="M82">
        <v>0.56999999999999995</v>
      </c>
    </row>
    <row r="83" spans="1:25" hidden="1" x14ac:dyDescent="0.25">
      <c r="A83" t="str">
        <f t="shared" si="1"/>
        <v>2022_Vic_Kalkee_Chickpea_DetailedTOSTOS2VarietyCBA_CaptainWaterTrtRainFed</v>
      </c>
      <c r="B83">
        <v>2022002</v>
      </c>
      <c r="C83" t="s">
        <v>35</v>
      </c>
      <c r="D83">
        <v>2</v>
      </c>
      <c r="E83" t="s">
        <v>25</v>
      </c>
      <c r="F83" t="s">
        <v>26</v>
      </c>
      <c r="G83" t="s">
        <v>30</v>
      </c>
      <c r="I83">
        <v>2</v>
      </c>
      <c r="J83" t="s">
        <v>37</v>
      </c>
      <c r="K83" s="1">
        <v>44809</v>
      </c>
      <c r="L83">
        <v>9</v>
      </c>
      <c r="M83">
        <v>0.6</v>
      </c>
    </row>
    <row r="84" spans="1:25" hidden="1" x14ac:dyDescent="0.25">
      <c r="A84" t="str">
        <f t="shared" si="1"/>
        <v>2022_Vic_Kalkee_Chickpea_DetailedTOSTOS1VarietyDrummondWaterTrtRainFed</v>
      </c>
      <c r="B84">
        <v>2022002</v>
      </c>
      <c r="C84" t="s">
        <v>35</v>
      </c>
      <c r="D84">
        <v>2</v>
      </c>
      <c r="E84" t="s">
        <v>25</v>
      </c>
      <c r="F84" t="s">
        <v>123</v>
      </c>
      <c r="G84" t="s">
        <v>30</v>
      </c>
      <c r="I84">
        <v>1</v>
      </c>
      <c r="J84" t="s">
        <v>36</v>
      </c>
      <c r="K84" s="1">
        <v>44763</v>
      </c>
      <c r="L84">
        <v>5.0999999999999996</v>
      </c>
      <c r="M84">
        <v>0.56999999999999995</v>
      </c>
    </row>
    <row r="85" spans="1:25" hidden="1" x14ac:dyDescent="0.25">
      <c r="A85" t="str">
        <f t="shared" si="1"/>
        <v>2022_Vic_Kalkee_Chickpea_DetailedTOSTOS2VarietyDrummondWaterTrtRainFed</v>
      </c>
      <c r="B85">
        <v>2022002</v>
      </c>
      <c r="C85" t="s">
        <v>35</v>
      </c>
      <c r="D85">
        <v>2</v>
      </c>
      <c r="E85" t="s">
        <v>25</v>
      </c>
      <c r="F85" t="s">
        <v>123</v>
      </c>
      <c r="G85" t="s">
        <v>30</v>
      </c>
      <c r="I85">
        <v>2</v>
      </c>
      <c r="J85" t="s">
        <v>37</v>
      </c>
      <c r="K85" s="1">
        <v>44809</v>
      </c>
      <c r="L85">
        <v>9.1</v>
      </c>
      <c r="M85">
        <v>0.6</v>
      </c>
    </row>
    <row r="86" spans="1:25" hidden="1" x14ac:dyDescent="0.25">
      <c r="A86" t="str">
        <f t="shared" si="1"/>
        <v>2022_Vic_Kalkee_Chickpea_DetailedTOSTOS1VarietyHatTrickWaterTrtRainFed</v>
      </c>
      <c r="B86">
        <v>2022002</v>
      </c>
      <c r="C86" t="s">
        <v>35</v>
      </c>
      <c r="D86">
        <v>2</v>
      </c>
      <c r="E86" t="s">
        <v>25</v>
      </c>
      <c r="F86" t="s">
        <v>124</v>
      </c>
      <c r="G86" t="s">
        <v>30</v>
      </c>
      <c r="I86">
        <v>1</v>
      </c>
      <c r="J86" t="s">
        <v>36</v>
      </c>
      <c r="K86" s="1">
        <v>44763</v>
      </c>
      <c r="L86">
        <v>4.3</v>
      </c>
      <c r="M86">
        <v>0.56999999999999995</v>
      </c>
    </row>
    <row r="87" spans="1:25" hidden="1" x14ac:dyDescent="0.25">
      <c r="A87" t="str">
        <f t="shared" si="1"/>
        <v>2022_Vic_Kalkee_Chickpea_DetailedTOSTOS2VarietyHatTrickWaterTrtRainFed</v>
      </c>
      <c r="B87">
        <v>2022002</v>
      </c>
      <c r="C87" t="s">
        <v>35</v>
      </c>
      <c r="D87">
        <v>2</v>
      </c>
      <c r="E87" t="s">
        <v>25</v>
      </c>
      <c r="F87" t="s">
        <v>124</v>
      </c>
      <c r="G87" t="s">
        <v>30</v>
      </c>
      <c r="I87">
        <v>2</v>
      </c>
      <c r="J87" t="s">
        <v>37</v>
      </c>
      <c r="K87" s="1">
        <v>44809</v>
      </c>
      <c r="L87">
        <v>5.5</v>
      </c>
      <c r="M87">
        <v>0.56999999999999995</v>
      </c>
    </row>
    <row r="88" spans="1:25" hidden="1" x14ac:dyDescent="0.25">
      <c r="A88" t="str">
        <f t="shared" si="1"/>
        <v>2022_Vic_Kalkee_Chickpea_DetailedTOSTOS1VarietyStrikerWaterTrtRainFed</v>
      </c>
      <c r="B88">
        <v>2022002</v>
      </c>
      <c r="C88" t="s">
        <v>35</v>
      </c>
      <c r="D88">
        <v>2</v>
      </c>
      <c r="E88" t="s">
        <v>25</v>
      </c>
      <c r="F88" t="s">
        <v>125</v>
      </c>
      <c r="G88" t="s">
        <v>30</v>
      </c>
      <c r="I88">
        <v>1</v>
      </c>
      <c r="J88" t="s">
        <v>36</v>
      </c>
      <c r="K88" s="1">
        <v>44763</v>
      </c>
      <c r="L88">
        <v>7.5</v>
      </c>
      <c r="M88">
        <v>0.56999999999999995</v>
      </c>
    </row>
    <row r="89" spans="1:25" hidden="1" x14ac:dyDescent="0.25">
      <c r="A89" t="str">
        <f t="shared" si="1"/>
        <v>2022_Vic_Kalkee_Chickpea_DetailedTOSTOS2VarietyStrikerWaterTrtRainFed</v>
      </c>
      <c r="B89">
        <v>2022002</v>
      </c>
      <c r="C89" t="s">
        <v>35</v>
      </c>
      <c r="D89">
        <v>2</v>
      </c>
      <c r="E89" t="s">
        <v>25</v>
      </c>
      <c r="F89" t="s">
        <v>125</v>
      </c>
      <c r="G89" t="s">
        <v>30</v>
      </c>
      <c r="I89">
        <v>2</v>
      </c>
      <c r="J89" t="s">
        <v>37</v>
      </c>
      <c r="K89" s="1">
        <v>44809</v>
      </c>
      <c r="L89">
        <v>12.5</v>
      </c>
      <c r="M89">
        <v>0.56999999999999995</v>
      </c>
    </row>
    <row r="90" spans="1:25" hidden="1" x14ac:dyDescent="0.25">
      <c r="A90" t="str">
        <f t="shared" si="1"/>
        <v>2022_Vic_Kalkee_Chickpea_DetailedTOSTOS1VarietyCBA_CaptainWaterTrtRainFed</v>
      </c>
      <c r="B90">
        <v>2022002</v>
      </c>
      <c r="C90" t="s">
        <v>35</v>
      </c>
      <c r="D90">
        <v>3</v>
      </c>
      <c r="E90" t="s">
        <v>31</v>
      </c>
      <c r="F90" t="s">
        <v>26</v>
      </c>
      <c r="G90" t="s">
        <v>30</v>
      </c>
      <c r="I90">
        <v>1</v>
      </c>
      <c r="J90" t="s">
        <v>36</v>
      </c>
      <c r="K90" s="1">
        <v>44798</v>
      </c>
      <c r="L90">
        <v>27.1</v>
      </c>
      <c r="M90">
        <v>2.9</v>
      </c>
    </row>
    <row r="91" spans="1:25" hidden="1" x14ac:dyDescent="0.25">
      <c r="A91" t="str">
        <f t="shared" si="1"/>
        <v>2022_Vic_Kalkee_Chickpea_DetailedTOSTOS2VarietyCBA_CaptainWaterTrtRainFed</v>
      </c>
      <c r="B91">
        <v>2022002</v>
      </c>
      <c r="C91" t="s">
        <v>35</v>
      </c>
      <c r="D91">
        <v>3</v>
      </c>
      <c r="E91" t="s">
        <v>31</v>
      </c>
      <c r="F91" t="s">
        <v>26</v>
      </c>
      <c r="G91" t="s">
        <v>30</v>
      </c>
      <c r="I91">
        <v>2</v>
      </c>
      <c r="J91" t="s">
        <v>37</v>
      </c>
      <c r="K91" s="1">
        <v>44832</v>
      </c>
      <c r="L91">
        <v>37.700000000000003</v>
      </c>
      <c r="M91">
        <v>3</v>
      </c>
    </row>
    <row r="92" spans="1:25" hidden="1" x14ac:dyDescent="0.25">
      <c r="A92" t="str">
        <f t="shared" si="1"/>
        <v>2022_Vic_Kalkee_Chickpea_DetailedTOSTOS1VarietyDrummondWaterTrtRainFed</v>
      </c>
      <c r="B92">
        <v>2022002</v>
      </c>
      <c r="C92" t="s">
        <v>35</v>
      </c>
      <c r="D92">
        <v>3</v>
      </c>
      <c r="E92" t="s">
        <v>31</v>
      </c>
      <c r="F92" t="s">
        <v>123</v>
      </c>
      <c r="G92" t="s">
        <v>30</v>
      </c>
      <c r="I92">
        <v>1</v>
      </c>
      <c r="J92" t="s">
        <v>36</v>
      </c>
      <c r="K92" s="1">
        <v>44798</v>
      </c>
      <c r="L92">
        <v>24.8</v>
      </c>
      <c r="M92">
        <v>2.9</v>
      </c>
    </row>
    <row r="93" spans="1:25" hidden="1" x14ac:dyDescent="0.25">
      <c r="A93" t="str">
        <f t="shared" si="1"/>
        <v>2022_Vic_Kalkee_Chickpea_DetailedTOSTOS2VarietyDrummondWaterTrtRainFed</v>
      </c>
      <c r="B93">
        <v>2022002</v>
      </c>
      <c r="C93" t="s">
        <v>35</v>
      </c>
      <c r="D93">
        <v>3</v>
      </c>
      <c r="E93" t="s">
        <v>31</v>
      </c>
      <c r="F93" t="s">
        <v>123</v>
      </c>
      <c r="G93" t="s">
        <v>30</v>
      </c>
      <c r="I93">
        <v>2</v>
      </c>
      <c r="J93" t="s">
        <v>37</v>
      </c>
      <c r="K93" s="1">
        <v>44832</v>
      </c>
      <c r="L93">
        <v>35.6</v>
      </c>
      <c r="M93">
        <v>3</v>
      </c>
    </row>
    <row r="94" spans="1:25" hidden="1" x14ac:dyDescent="0.25">
      <c r="A94" t="str">
        <f t="shared" si="1"/>
        <v>2022_Vic_Kalkee_Chickpea_DetailedTOSTOS1VarietyHatTrickWaterTrtRainFed</v>
      </c>
      <c r="B94">
        <v>2022002</v>
      </c>
      <c r="C94" t="s">
        <v>35</v>
      </c>
      <c r="D94">
        <v>3</v>
      </c>
      <c r="E94" t="s">
        <v>31</v>
      </c>
      <c r="F94" t="s">
        <v>124</v>
      </c>
      <c r="G94" t="s">
        <v>30</v>
      </c>
      <c r="I94">
        <v>1</v>
      </c>
      <c r="J94" t="s">
        <v>36</v>
      </c>
      <c r="K94" s="1">
        <v>44798</v>
      </c>
      <c r="L94">
        <v>20.7</v>
      </c>
      <c r="M94">
        <v>2.9</v>
      </c>
    </row>
    <row r="95" spans="1:25" hidden="1" x14ac:dyDescent="0.25">
      <c r="A95" t="str">
        <f t="shared" si="1"/>
        <v>2022_Vic_Kalkee_Chickpea_DetailedTOSTOS2VarietyHatTrickWaterTrtRainFed</v>
      </c>
      <c r="B95">
        <v>2022002</v>
      </c>
      <c r="C95" t="s">
        <v>35</v>
      </c>
      <c r="D95">
        <v>3</v>
      </c>
      <c r="E95" t="s">
        <v>31</v>
      </c>
      <c r="F95" t="s">
        <v>124</v>
      </c>
      <c r="G95" t="s">
        <v>30</v>
      </c>
      <c r="I95">
        <v>2</v>
      </c>
      <c r="J95" t="s">
        <v>37</v>
      </c>
      <c r="K95" s="1">
        <v>44832</v>
      </c>
      <c r="L95">
        <v>29.2</v>
      </c>
      <c r="M95">
        <v>2.9</v>
      </c>
    </row>
    <row r="96" spans="1:25" hidden="1" x14ac:dyDescent="0.25">
      <c r="A96" t="str">
        <f t="shared" si="1"/>
        <v>2022_Vic_Kalkee_Chickpea_DetailedTOSTOS1VarietyStrikerWaterTrtRainFed</v>
      </c>
      <c r="B96">
        <v>2022002</v>
      </c>
      <c r="C96" t="s">
        <v>35</v>
      </c>
      <c r="D96">
        <v>3</v>
      </c>
      <c r="E96" t="s">
        <v>31</v>
      </c>
      <c r="F96" t="s">
        <v>125</v>
      </c>
      <c r="G96" t="s">
        <v>30</v>
      </c>
      <c r="I96">
        <v>1</v>
      </c>
      <c r="J96" t="s">
        <v>36</v>
      </c>
      <c r="K96" s="1">
        <v>44798</v>
      </c>
      <c r="L96">
        <v>30.7</v>
      </c>
      <c r="M96">
        <v>2.9</v>
      </c>
    </row>
    <row r="97" spans="1:13" hidden="1" x14ac:dyDescent="0.25">
      <c r="A97" t="str">
        <f t="shared" si="1"/>
        <v>2022_Vic_Kalkee_Chickpea_DetailedTOSTOS2VarietyStrikerWaterTrtRainFed</v>
      </c>
      <c r="B97">
        <v>2022002</v>
      </c>
      <c r="C97" t="s">
        <v>35</v>
      </c>
      <c r="D97">
        <v>3</v>
      </c>
      <c r="E97" t="s">
        <v>31</v>
      </c>
      <c r="F97" t="s">
        <v>125</v>
      </c>
      <c r="G97" t="s">
        <v>30</v>
      </c>
      <c r="I97">
        <v>2</v>
      </c>
      <c r="J97" t="s">
        <v>37</v>
      </c>
      <c r="K97" s="1">
        <v>44832</v>
      </c>
      <c r="L97">
        <v>41.7</v>
      </c>
      <c r="M97">
        <v>2.9</v>
      </c>
    </row>
    <row r="98" spans="1:13" hidden="1" x14ac:dyDescent="0.25">
      <c r="A98" t="str">
        <f t="shared" si="1"/>
        <v>2022_Vic_Kalkee_Chickpea_DetailedTOSTOS1VarietyCBA_CaptainWaterTrtRainFed</v>
      </c>
      <c r="B98">
        <v>2022002</v>
      </c>
      <c r="C98" t="s">
        <v>35</v>
      </c>
      <c r="D98">
        <v>4</v>
      </c>
      <c r="E98" t="s">
        <v>32</v>
      </c>
      <c r="F98" t="s">
        <v>26</v>
      </c>
      <c r="G98" t="s">
        <v>30</v>
      </c>
      <c r="I98">
        <v>1</v>
      </c>
      <c r="J98" t="s">
        <v>36</v>
      </c>
      <c r="K98" s="1">
        <v>44844</v>
      </c>
      <c r="L98">
        <v>308.89999999999998</v>
      </c>
      <c r="M98">
        <v>27</v>
      </c>
    </row>
    <row r="99" spans="1:13" hidden="1" x14ac:dyDescent="0.25">
      <c r="A99" t="str">
        <f t="shared" si="1"/>
        <v>2022_Vic_Kalkee_Chickpea_DetailedTOSTOS2VarietyCBA_CaptainWaterTrtRainFed</v>
      </c>
      <c r="B99">
        <v>2022002</v>
      </c>
      <c r="C99" t="s">
        <v>35</v>
      </c>
      <c r="D99">
        <v>4</v>
      </c>
      <c r="E99" t="s">
        <v>32</v>
      </c>
      <c r="F99" t="s">
        <v>26</v>
      </c>
      <c r="G99" t="s">
        <v>30</v>
      </c>
      <c r="I99">
        <v>2</v>
      </c>
      <c r="J99" t="s">
        <v>37</v>
      </c>
      <c r="K99" s="1">
        <v>44868</v>
      </c>
      <c r="L99">
        <v>284.7</v>
      </c>
      <c r="M99">
        <v>28</v>
      </c>
    </row>
    <row r="100" spans="1:13" hidden="1" x14ac:dyDescent="0.25">
      <c r="A100" t="str">
        <f t="shared" si="1"/>
        <v>2022_Vic_Kalkee_Chickpea_DetailedTOSTOS1VarietyDrummondWaterTrtRainFed</v>
      </c>
      <c r="B100">
        <v>2022002</v>
      </c>
      <c r="C100" t="s">
        <v>35</v>
      </c>
      <c r="D100">
        <v>4</v>
      </c>
      <c r="E100" t="s">
        <v>32</v>
      </c>
      <c r="F100" t="s">
        <v>123</v>
      </c>
      <c r="G100" t="s">
        <v>30</v>
      </c>
      <c r="I100">
        <v>1</v>
      </c>
      <c r="J100" t="s">
        <v>36</v>
      </c>
      <c r="K100" s="1">
        <v>44844</v>
      </c>
      <c r="L100">
        <v>353.4</v>
      </c>
      <c r="M100">
        <v>27</v>
      </c>
    </row>
    <row r="101" spans="1:13" hidden="1" x14ac:dyDescent="0.25">
      <c r="A101" t="str">
        <f t="shared" si="1"/>
        <v>2022_Vic_Kalkee_Chickpea_DetailedTOSTOS2VarietyDrummondWaterTrtRainFed</v>
      </c>
      <c r="B101">
        <v>2022002</v>
      </c>
      <c r="C101" t="s">
        <v>35</v>
      </c>
      <c r="D101">
        <v>4</v>
      </c>
      <c r="E101" t="s">
        <v>32</v>
      </c>
      <c r="F101" t="s">
        <v>123</v>
      </c>
      <c r="G101" t="s">
        <v>30</v>
      </c>
      <c r="I101">
        <v>2</v>
      </c>
      <c r="J101" t="s">
        <v>37</v>
      </c>
      <c r="K101" s="1">
        <v>44868</v>
      </c>
      <c r="L101">
        <v>261.8</v>
      </c>
      <c r="M101">
        <v>29</v>
      </c>
    </row>
    <row r="102" spans="1:13" hidden="1" x14ac:dyDescent="0.25">
      <c r="A102" t="str">
        <f t="shared" si="1"/>
        <v>2022_Vic_Kalkee_Chickpea_DetailedTOSTOS1VarietyHatTrickWaterTrtRainFed</v>
      </c>
      <c r="B102">
        <v>2022002</v>
      </c>
      <c r="C102" t="s">
        <v>35</v>
      </c>
      <c r="D102">
        <v>4</v>
      </c>
      <c r="E102" t="s">
        <v>32</v>
      </c>
      <c r="F102" t="s">
        <v>124</v>
      </c>
      <c r="G102" t="s">
        <v>30</v>
      </c>
      <c r="I102">
        <v>1</v>
      </c>
      <c r="J102" t="s">
        <v>36</v>
      </c>
      <c r="K102" s="1">
        <v>44844</v>
      </c>
      <c r="L102">
        <v>310.39999999999998</v>
      </c>
      <c r="M102">
        <v>27</v>
      </c>
    </row>
    <row r="103" spans="1:13" hidden="1" x14ac:dyDescent="0.25">
      <c r="A103" t="str">
        <f t="shared" si="1"/>
        <v>2022_Vic_Kalkee_Chickpea_DetailedTOSTOS2VarietyHatTrickWaterTrtRainFed</v>
      </c>
      <c r="B103">
        <v>2022002</v>
      </c>
      <c r="C103" t="s">
        <v>35</v>
      </c>
      <c r="D103">
        <v>4</v>
      </c>
      <c r="E103" t="s">
        <v>32</v>
      </c>
      <c r="F103" t="s">
        <v>124</v>
      </c>
      <c r="G103" t="s">
        <v>30</v>
      </c>
      <c r="I103">
        <v>2</v>
      </c>
      <c r="J103" t="s">
        <v>37</v>
      </c>
      <c r="K103" s="1">
        <v>44868</v>
      </c>
      <c r="L103">
        <v>220.7</v>
      </c>
      <c r="M103">
        <v>27</v>
      </c>
    </row>
    <row r="104" spans="1:13" hidden="1" x14ac:dyDescent="0.25">
      <c r="A104" t="str">
        <f t="shared" si="1"/>
        <v>2022_Vic_Kalkee_Chickpea_DetailedTOSTOS1VarietyStrikerWaterTrtRainFed</v>
      </c>
      <c r="B104">
        <v>2022002</v>
      </c>
      <c r="C104" t="s">
        <v>35</v>
      </c>
      <c r="D104">
        <v>4</v>
      </c>
      <c r="E104" t="s">
        <v>32</v>
      </c>
      <c r="F104" t="s">
        <v>125</v>
      </c>
      <c r="G104" t="s">
        <v>30</v>
      </c>
      <c r="I104">
        <v>1</v>
      </c>
      <c r="J104" t="s">
        <v>36</v>
      </c>
      <c r="K104" s="1">
        <v>44844</v>
      </c>
      <c r="L104">
        <v>288</v>
      </c>
      <c r="M104">
        <v>27</v>
      </c>
    </row>
    <row r="105" spans="1:13" hidden="1" x14ac:dyDescent="0.25">
      <c r="A105" t="str">
        <f t="shared" si="1"/>
        <v>2022_Vic_Kalkee_Chickpea_DetailedTOSTOS2VarietyStrikerWaterTrtRainFed</v>
      </c>
      <c r="B105">
        <v>2022002</v>
      </c>
      <c r="C105" t="s">
        <v>35</v>
      </c>
      <c r="D105">
        <v>4</v>
      </c>
      <c r="E105" t="s">
        <v>32</v>
      </c>
      <c r="F105" t="s">
        <v>125</v>
      </c>
      <c r="G105" t="s">
        <v>30</v>
      </c>
      <c r="I105">
        <v>2</v>
      </c>
      <c r="J105" t="s">
        <v>37</v>
      </c>
      <c r="K105" s="1">
        <v>44868</v>
      </c>
      <c r="L105">
        <v>295.89999999999998</v>
      </c>
      <c r="M105">
        <v>27</v>
      </c>
    </row>
    <row r="106" spans="1:13" hidden="1" x14ac:dyDescent="0.25">
      <c r="A106" t="str">
        <f t="shared" si="1"/>
        <v>2022_Vic_Kalkee_Chickpea_DetailedTOSTOS1VarietyCBA_CaptainWaterTrtRainFed</v>
      </c>
      <c r="B106">
        <v>2022002</v>
      </c>
      <c r="C106" t="s">
        <v>35</v>
      </c>
      <c r="D106">
        <v>5</v>
      </c>
      <c r="E106" t="s">
        <v>33</v>
      </c>
      <c r="F106" t="s">
        <v>26</v>
      </c>
      <c r="G106" t="s">
        <v>30</v>
      </c>
      <c r="I106">
        <v>1</v>
      </c>
      <c r="J106" t="s">
        <v>36</v>
      </c>
      <c r="K106" s="1">
        <v>44901</v>
      </c>
      <c r="L106">
        <v>1512.3</v>
      </c>
      <c r="M106">
        <v>96</v>
      </c>
    </row>
    <row r="107" spans="1:13" hidden="1" x14ac:dyDescent="0.25">
      <c r="A107" t="str">
        <f t="shared" si="1"/>
        <v>2022_Vic_Kalkee_Chickpea_DetailedTOSTOS2VarietyCBA_CaptainWaterTrtRainFed</v>
      </c>
      <c r="B107">
        <v>2022002</v>
      </c>
      <c r="C107" t="s">
        <v>35</v>
      </c>
      <c r="D107">
        <v>5</v>
      </c>
      <c r="E107" t="s">
        <v>33</v>
      </c>
      <c r="F107" t="s">
        <v>26</v>
      </c>
      <c r="G107" t="s">
        <v>30</v>
      </c>
      <c r="I107">
        <v>2</v>
      </c>
      <c r="J107" t="s">
        <v>37</v>
      </c>
      <c r="K107" s="1">
        <v>44901</v>
      </c>
      <c r="L107">
        <v>1086</v>
      </c>
      <c r="M107">
        <v>86</v>
      </c>
    </row>
    <row r="108" spans="1:13" hidden="1" x14ac:dyDescent="0.25">
      <c r="A108" t="str">
        <f t="shared" si="1"/>
        <v>2022_Vic_Kalkee_Chickpea_DetailedTOSTOS1VarietyDrummondWaterTrtRainFed</v>
      </c>
      <c r="B108">
        <v>2022002</v>
      </c>
      <c r="C108" t="s">
        <v>35</v>
      </c>
      <c r="D108">
        <v>5</v>
      </c>
      <c r="E108" t="s">
        <v>33</v>
      </c>
      <c r="F108" t="s">
        <v>123</v>
      </c>
      <c r="G108" t="s">
        <v>30</v>
      </c>
      <c r="I108">
        <v>1</v>
      </c>
      <c r="J108" t="s">
        <v>36</v>
      </c>
      <c r="K108" s="1">
        <v>44901</v>
      </c>
      <c r="L108">
        <v>1608.4</v>
      </c>
      <c r="M108">
        <v>96</v>
      </c>
    </row>
    <row r="109" spans="1:13" hidden="1" x14ac:dyDescent="0.25">
      <c r="A109" t="str">
        <f t="shared" si="1"/>
        <v>2022_Vic_Kalkee_Chickpea_DetailedTOSTOS2VarietyDrummondWaterTrtRainFed</v>
      </c>
      <c r="B109">
        <v>2022002</v>
      </c>
      <c r="C109" t="s">
        <v>35</v>
      </c>
      <c r="D109">
        <v>5</v>
      </c>
      <c r="E109" t="s">
        <v>33</v>
      </c>
      <c r="F109" t="s">
        <v>123</v>
      </c>
      <c r="G109" t="s">
        <v>30</v>
      </c>
      <c r="I109">
        <v>2</v>
      </c>
      <c r="J109" t="s">
        <v>37</v>
      </c>
      <c r="K109" s="1">
        <v>44901</v>
      </c>
      <c r="L109">
        <v>1062.0999999999999</v>
      </c>
      <c r="M109">
        <v>86</v>
      </c>
    </row>
    <row r="110" spans="1:13" hidden="1" x14ac:dyDescent="0.25">
      <c r="A110" t="str">
        <f t="shared" si="1"/>
        <v>2022_Vic_Kalkee_Chickpea_DetailedTOSTOS1VarietyHatTrickWaterTrtRainFed</v>
      </c>
      <c r="B110">
        <v>2022002</v>
      </c>
      <c r="C110" t="s">
        <v>35</v>
      </c>
      <c r="D110">
        <v>5</v>
      </c>
      <c r="E110" t="s">
        <v>33</v>
      </c>
      <c r="F110" t="s">
        <v>124</v>
      </c>
      <c r="G110" t="s">
        <v>30</v>
      </c>
      <c r="I110">
        <v>1</v>
      </c>
      <c r="J110" t="s">
        <v>36</v>
      </c>
      <c r="K110" s="1">
        <v>44901</v>
      </c>
      <c r="L110">
        <v>1375.5</v>
      </c>
      <c r="M110">
        <v>96</v>
      </c>
    </row>
    <row r="111" spans="1:13" hidden="1" x14ac:dyDescent="0.25">
      <c r="A111" t="str">
        <f t="shared" si="1"/>
        <v>2022_Vic_Kalkee_Chickpea_DetailedTOSTOS2VarietyHatTrickWaterTrtRainFed</v>
      </c>
      <c r="B111">
        <v>2022002</v>
      </c>
      <c r="C111" t="s">
        <v>35</v>
      </c>
      <c r="D111">
        <v>5</v>
      </c>
      <c r="E111" t="s">
        <v>33</v>
      </c>
      <c r="F111" t="s">
        <v>124</v>
      </c>
      <c r="G111" t="s">
        <v>30</v>
      </c>
      <c r="I111">
        <v>2</v>
      </c>
      <c r="J111" t="s">
        <v>37</v>
      </c>
      <c r="K111" s="1">
        <v>44901</v>
      </c>
      <c r="L111">
        <v>963.8</v>
      </c>
      <c r="M111">
        <v>78</v>
      </c>
    </row>
    <row r="112" spans="1:13" hidden="1" x14ac:dyDescent="0.25">
      <c r="A112" t="str">
        <f t="shared" si="1"/>
        <v>2022_Vic_Kalkee_Chickpea_DetailedTOSTOS1VarietyStrikerWaterTrtRainFed</v>
      </c>
      <c r="B112">
        <v>2022002</v>
      </c>
      <c r="C112" t="s">
        <v>35</v>
      </c>
      <c r="D112">
        <v>5</v>
      </c>
      <c r="E112" t="s">
        <v>33</v>
      </c>
      <c r="F112" t="s">
        <v>125</v>
      </c>
      <c r="G112" t="s">
        <v>30</v>
      </c>
      <c r="I112">
        <v>1</v>
      </c>
      <c r="J112" t="s">
        <v>36</v>
      </c>
      <c r="K112" s="1">
        <v>44901</v>
      </c>
      <c r="L112">
        <v>1046.0999999999999</v>
      </c>
      <c r="M112">
        <v>110</v>
      </c>
    </row>
    <row r="113" spans="1:25" hidden="1" x14ac:dyDescent="0.25">
      <c r="A113" t="str">
        <f t="shared" si="1"/>
        <v>2022_Vic_Kalkee_Chickpea_DetailedTOSTOS2VarietyStrikerWaterTrtRainFed</v>
      </c>
      <c r="B113">
        <v>2022002</v>
      </c>
      <c r="C113" t="s">
        <v>35</v>
      </c>
      <c r="D113">
        <v>5</v>
      </c>
      <c r="E113" t="s">
        <v>33</v>
      </c>
      <c r="F113" t="s">
        <v>125</v>
      </c>
      <c r="G113" t="s">
        <v>30</v>
      </c>
      <c r="I113">
        <v>2</v>
      </c>
      <c r="J113" t="s">
        <v>37</v>
      </c>
      <c r="K113" s="1">
        <v>44901</v>
      </c>
      <c r="L113">
        <v>968.9</v>
      </c>
      <c r="M113">
        <v>86</v>
      </c>
    </row>
    <row r="114" spans="1:25" hidden="1" x14ac:dyDescent="0.25">
      <c r="A114" t="str">
        <f t="shared" si="1"/>
        <v>2022_Vic_Kalkee_Chickpea_DetailedTOSTOS1VarietyCBA_CaptainWaterTrtRainFed</v>
      </c>
      <c r="B114">
        <v>2022002</v>
      </c>
      <c r="C114" t="s">
        <v>35</v>
      </c>
      <c r="D114">
        <v>6</v>
      </c>
      <c r="E114" t="s">
        <v>34</v>
      </c>
      <c r="F114" t="s">
        <v>26</v>
      </c>
      <c r="G114" t="s">
        <v>30</v>
      </c>
      <c r="I114">
        <v>1</v>
      </c>
      <c r="J114" t="s">
        <v>36</v>
      </c>
      <c r="K114" s="1">
        <v>44931</v>
      </c>
      <c r="L114">
        <v>1399</v>
      </c>
      <c r="M114">
        <v>150</v>
      </c>
      <c r="N114">
        <v>0.20899999999999999</v>
      </c>
      <c r="O114">
        <v>4.1000000000000002E-2</v>
      </c>
      <c r="P114">
        <v>1359</v>
      </c>
      <c r="Q114">
        <v>290</v>
      </c>
      <c r="T114">
        <v>2146</v>
      </c>
      <c r="U114">
        <v>340</v>
      </c>
      <c r="X114">
        <v>302</v>
      </c>
      <c r="Y114">
        <v>56</v>
      </c>
    </row>
    <row r="115" spans="1:25" hidden="1" x14ac:dyDescent="0.25">
      <c r="A115" t="str">
        <f t="shared" si="1"/>
        <v>2022_Vic_Kalkee_Chickpea_DetailedTOSTOS2VarietyCBA_CaptainWaterTrtRainFed</v>
      </c>
      <c r="B115">
        <v>2022002</v>
      </c>
      <c r="C115" t="s">
        <v>35</v>
      </c>
      <c r="D115">
        <v>6</v>
      </c>
      <c r="E115" t="s">
        <v>34</v>
      </c>
      <c r="F115" t="s">
        <v>26</v>
      </c>
      <c r="G115" t="s">
        <v>30</v>
      </c>
      <c r="I115">
        <v>2</v>
      </c>
      <c r="J115" t="s">
        <v>37</v>
      </c>
      <c r="K115" s="1">
        <v>44931</v>
      </c>
      <c r="L115">
        <v>1036.3</v>
      </c>
      <c r="M115">
        <v>120</v>
      </c>
      <c r="N115">
        <v>0.30599999999999999</v>
      </c>
      <c r="O115">
        <v>3.6999999999999998E-2</v>
      </c>
      <c r="P115">
        <v>1588</v>
      </c>
      <c r="Q115">
        <v>290</v>
      </c>
      <c r="T115">
        <v>2433</v>
      </c>
      <c r="U115">
        <v>310</v>
      </c>
      <c r="X115">
        <v>315</v>
      </c>
      <c r="Y115">
        <v>49</v>
      </c>
    </row>
    <row r="116" spans="1:25" hidden="1" x14ac:dyDescent="0.25">
      <c r="A116" t="str">
        <f t="shared" si="1"/>
        <v>2022_Vic_Kalkee_Chickpea_DetailedTOSTOS1VarietyDrummondWaterTrtRainFed</v>
      </c>
      <c r="B116">
        <v>2022002</v>
      </c>
      <c r="C116" t="s">
        <v>35</v>
      </c>
      <c r="D116">
        <v>6</v>
      </c>
      <c r="E116" t="s">
        <v>34</v>
      </c>
      <c r="F116" t="s">
        <v>123</v>
      </c>
      <c r="G116" t="s">
        <v>30</v>
      </c>
      <c r="I116">
        <v>1</v>
      </c>
      <c r="J116" t="s">
        <v>36</v>
      </c>
      <c r="K116" s="1">
        <v>44931</v>
      </c>
      <c r="L116">
        <v>1366.7</v>
      </c>
      <c r="M116">
        <v>150</v>
      </c>
      <c r="N116">
        <v>0.121</v>
      </c>
      <c r="O116">
        <v>4.1000000000000002E-2</v>
      </c>
      <c r="P116">
        <v>659</v>
      </c>
      <c r="Q116">
        <v>260</v>
      </c>
      <c r="T116">
        <v>1243</v>
      </c>
      <c r="U116">
        <v>340</v>
      </c>
      <c r="X116">
        <v>169</v>
      </c>
      <c r="Y116">
        <v>56</v>
      </c>
    </row>
    <row r="117" spans="1:25" hidden="1" x14ac:dyDescent="0.25">
      <c r="A117" t="str">
        <f t="shared" si="1"/>
        <v>2022_Vic_Kalkee_Chickpea_DetailedTOSTOS2VarietyDrummondWaterTrtRainFed</v>
      </c>
      <c r="B117">
        <v>2022002</v>
      </c>
      <c r="C117" t="s">
        <v>35</v>
      </c>
      <c r="D117">
        <v>6</v>
      </c>
      <c r="E117" t="s">
        <v>34</v>
      </c>
      <c r="F117" t="s">
        <v>123</v>
      </c>
      <c r="G117" t="s">
        <v>30</v>
      </c>
      <c r="I117">
        <v>2</v>
      </c>
      <c r="J117" t="s">
        <v>37</v>
      </c>
      <c r="K117" s="1">
        <v>44931</v>
      </c>
      <c r="L117">
        <v>1232.0999999999999</v>
      </c>
      <c r="M117">
        <v>120</v>
      </c>
      <c r="N117">
        <v>0.29099999999999998</v>
      </c>
      <c r="O117">
        <v>3.6999999999999998E-2</v>
      </c>
      <c r="P117">
        <v>1333</v>
      </c>
      <c r="Q117">
        <v>230</v>
      </c>
      <c r="T117">
        <v>1877</v>
      </c>
      <c r="U117">
        <v>310</v>
      </c>
      <c r="X117">
        <v>342</v>
      </c>
      <c r="Y117">
        <v>49</v>
      </c>
    </row>
    <row r="118" spans="1:25" hidden="1" x14ac:dyDescent="0.25">
      <c r="A118" t="str">
        <f t="shared" si="1"/>
        <v>2022_Vic_Kalkee_Chickpea_DetailedTOSTOS1VarietyHatTrickWaterTrtRainFed</v>
      </c>
      <c r="B118">
        <v>2022002</v>
      </c>
      <c r="C118" t="s">
        <v>35</v>
      </c>
      <c r="D118">
        <v>6</v>
      </c>
      <c r="E118" t="s">
        <v>34</v>
      </c>
      <c r="F118" t="s">
        <v>124</v>
      </c>
      <c r="G118" t="s">
        <v>30</v>
      </c>
      <c r="I118">
        <v>1</v>
      </c>
      <c r="J118" t="s">
        <v>36</v>
      </c>
      <c r="K118" s="1">
        <v>44931</v>
      </c>
      <c r="L118">
        <v>1580.7</v>
      </c>
      <c r="M118">
        <v>150</v>
      </c>
      <c r="N118">
        <v>0.14299999999999999</v>
      </c>
      <c r="O118">
        <v>4.1000000000000002E-2</v>
      </c>
      <c r="P118">
        <v>1469</v>
      </c>
      <c r="Q118">
        <v>260</v>
      </c>
      <c r="T118">
        <v>1555</v>
      </c>
      <c r="U118">
        <v>340</v>
      </c>
      <c r="X118">
        <v>249</v>
      </c>
      <c r="Y118">
        <v>56</v>
      </c>
    </row>
    <row r="119" spans="1:25" hidden="1" x14ac:dyDescent="0.25">
      <c r="A119" t="str">
        <f t="shared" si="1"/>
        <v>2022_Vic_Kalkee_Chickpea_DetailedTOSTOS2VarietyHatTrickWaterTrtRainFed</v>
      </c>
      <c r="B119">
        <v>2022002</v>
      </c>
      <c r="C119" t="s">
        <v>35</v>
      </c>
      <c r="D119">
        <v>6</v>
      </c>
      <c r="E119" t="s">
        <v>34</v>
      </c>
      <c r="F119" t="s">
        <v>124</v>
      </c>
      <c r="G119" t="s">
        <v>30</v>
      </c>
      <c r="I119">
        <v>2</v>
      </c>
      <c r="J119" t="s">
        <v>37</v>
      </c>
      <c r="K119" s="1">
        <v>44931</v>
      </c>
      <c r="L119">
        <v>1014.7</v>
      </c>
      <c r="M119">
        <v>120</v>
      </c>
      <c r="N119">
        <v>0.23100000000000001</v>
      </c>
      <c r="O119">
        <v>3.3000000000000002E-2</v>
      </c>
      <c r="P119">
        <v>1216</v>
      </c>
      <c r="Q119">
        <v>210</v>
      </c>
      <c r="T119">
        <v>1549</v>
      </c>
      <c r="U119">
        <v>280</v>
      </c>
      <c r="X119">
        <v>230</v>
      </c>
      <c r="Y119">
        <v>46</v>
      </c>
    </row>
    <row r="120" spans="1:25" hidden="1" x14ac:dyDescent="0.25">
      <c r="A120" t="str">
        <f t="shared" si="1"/>
        <v>2022_Vic_Kalkee_Chickpea_DetailedTOSTOS1VarietyStrikerWaterTrtRainFed</v>
      </c>
      <c r="B120">
        <v>2022002</v>
      </c>
      <c r="C120" t="s">
        <v>35</v>
      </c>
      <c r="D120">
        <v>6</v>
      </c>
      <c r="E120" t="s">
        <v>34</v>
      </c>
      <c r="F120" t="s">
        <v>125</v>
      </c>
      <c r="G120" t="s">
        <v>30</v>
      </c>
      <c r="I120">
        <v>1</v>
      </c>
      <c r="J120" t="s">
        <v>36</v>
      </c>
      <c r="K120" s="1">
        <v>44931</v>
      </c>
      <c r="L120">
        <v>1157.5</v>
      </c>
      <c r="M120">
        <v>160</v>
      </c>
      <c r="N120">
        <v>0.20200000000000001</v>
      </c>
      <c r="O120">
        <v>4.7E-2</v>
      </c>
      <c r="P120">
        <v>1292</v>
      </c>
      <c r="Q120">
        <v>290</v>
      </c>
      <c r="T120">
        <v>2137</v>
      </c>
      <c r="U120">
        <v>480</v>
      </c>
      <c r="X120">
        <v>223</v>
      </c>
      <c r="Y120">
        <v>62</v>
      </c>
    </row>
    <row r="121" spans="1:25" hidden="1" x14ac:dyDescent="0.25">
      <c r="A121" t="str">
        <f t="shared" si="1"/>
        <v>2022_Vic_Kalkee_Chickpea_DetailedTOSTOS2VarietyStrikerWaterTrtRainFed</v>
      </c>
      <c r="B121">
        <v>2022002</v>
      </c>
      <c r="C121" t="s">
        <v>35</v>
      </c>
      <c r="D121">
        <v>6</v>
      </c>
      <c r="E121" t="s">
        <v>34</v>
      </c>
      <c r="F121" t="s">
        <v>125</v>
      </c>
      <c r="G121" t="s">
        <v>30</v>
      </c>
      <c r="I121">
        <v>2</v>
      </c>
      <c r="J121" t="s">
        <v>37</v>
      </c>
      <c r="K121" s="1">
        <v>44931</v>
      </c>
      <c r="L121">
        <v>929.8</v>
      </c>
      <c r="M121">
        <v>120</v>
      </c>
      <c r="N121">
        <v>0.28000000000000003</v>
      </c>
      <c r="O121">
        <v>3.6999999999999998E-2</v>
      </c>
      <c r="P121">
        <v>1169</v>
      </c>
      <c r="Q121">
        <v>230</v>
      </c>
      <c r="T121">
        <v>1976</v>
      </c>
      <c r="U121">
        <v>310</v>
      </c>
      <c r="X121">
        <v>267</v>
      </c>
      <c r="Y121">
        <v>49</v>
      </c>
    </row>
    <row r="122" spans="1:25" hidden="1" x14ac:dyDescent="0.25">
      <c r="A122" t="str">
        <f t="shared" si="1"/>
        <v>2022_NSW_WaggaWagga_Chickpea_DetailedTOSTOS1VarietyCBA_CaptainWaterTrtRainFed</v>
      </c>
      <c r="B122">
        <v>2022003</v>
      </c>
      <c r="C122" t="s">
        <v>38</v>
      </c>
      <c r="D122">
        <v>2</v>
      </c>
      <c r="E122" t="s">
        <v>25</v>
      </c>
      <c r="F122" t="s">
        <v>26</v>
      </c>
      <c r="G122" t="s">
        <v>30</v>
      </c>
      <c r="I122">
        <v>1</v>
      </c>
      <c r="J122" t="s">
        <v>39</v>
      </c>
      <c r="K122" s="1">
        <v>44729</v>
      </c>
      <c r="L122">
        <v>7.1</v>
      </c>
      <c r="M122">
        <v>0.5</v>
      </c>
    </row>
    <row r="123" spans="1:25" hidden="1" x14ac:dyDescent="0.25">
      <c r="A123" t="str">
        <f t="shared" si="1"/>
        <v>2022_NSW_WaggaWagga_Chickpea_DetailedTOSTOS2VarietyCBA_CaptainWaterTrtRainFed</v>
      </c>
      <c r="B123">
        <v>2022003</v>
      </c>
      <c r="C123" t="s">
        <v>38</v>
      </c>
      <c r="D123">
        <v>2</v>
      </c>
      <c r="E123" t="s">
        <v>25</v>
      </c>
      <c r="F123" t="s">
        <v>26</v>
      </c>
      <c r="G123" t="s">
        <v>30</v>
      </c>
      <c r="I123">
        <v>2</v>
      </c>
      <c r="J123" t="s">
        <v>40</v>
      </c>
      <c r="K123" s="1">
        <v>44781</v>
      </c>
      <c r="L123">
        <v>10.3</v>
      </c>
      <c r="M123">
        <v>0.5</v>
      </c>
    </row>
    <row r="124" spans="1:25" hidden="1" x14ac:dyDescent="0.25">
      <c r="A124" t="str">
        <f t="shared" si="1"/>
        <v>2022_NSW_WaggaWagga_Chickpea_DetailedTOSTOS1VarietyDrummondWaterTrtRainFed</v>
      </c>
      <c r="B124">
        <v>2022003</v>
      </c>
      <c r="C124" t="s">
        <v>38</v>
      </c>
      <c r="D124">
        <v>2</v>
      </c>
      <c r="E124" t="s">
        <v>25</v>
      </c>
      <c r="F124" t="s">
        <v>123</v>
      </c>
      <c r="G124" t="s">
        <v>30</v>
      </c>
      <c r="I124">
        <v>1</v>
      </c>
      <c r="J124" t="s">
        <v>39</v>
      </c>
      <c r="K124" s="1">
        <v>44729</v>
      </c>
      <c r="L124">
        <v>7.7</v>
      </c>
      <c r="M124">
        <v>0.5</v>
      </c>
    </row>
    <row r="125" spans="1:25" hidden="1" x14ac:dyDescent="0.25">
      <c r="A125" t="str">
        <f t="shared" si="1"/>
        <v>2022_NSW_WaggaWagga_Chickpea_DetailedTOSTOS2VarietyDrummondWaterTrtRainFed</v>
      </c>
      <c r="B125">
        <v>2022003</v>
      </c>
      <c r="C125" t="s">
        <v>38</v>
      </c>
      <c r="D125">
        <v>2</v>
      </c>
      <c r="E125" t="s">
        <v>25</v>
      </c>
      <c r="F125" t="s">
        <v>123</v>
      </c>
      <c r="G125" t="s">
        <v>30</v>
      </c>
      <c r="I125">
        <v>2</v>
      </c>
      <c r="J125" t="s">
        <v>40</v>
      </c>
      <c r="K125" s="1">
        <v>44781</v>
      </c>
      <c r="L125">
        <v>9.1</v>
      </c>
      <c r="M125">
        <v>0.5</v>
      </c>
    </row>
    <row r="126" spans="1:25" hidden="1" x14ac:dyDescent="0.25">
      <c r="A126" t="str">
        <f t="shared" si="1"/>
        <v>2022_NSW_WaggaWagga_Chickpea_DetailedTOSTOS1VarietyHatTrickWaterTrtRainFed</v>
      </c>
      <c r="B126">
        <v>2022003</v>
      </c>
      <c r="C126" t="s">
        <v>38</v>
      </c>
      <c r="D126">
        <v>2</v>
      </c>
      <c r="E126" t="s">
        <v>25</v>
      </c>
      <c r="F126" t="s">
        <v>124</v>
      </c>
      <c r="G126" t="s">
        <v>30</v>
      </c>
      <c r="I126">
        <v>1</v>
      </c>
      <c r="J126" t="s">
        <v>39</v>
      </c>
      <c r="K126" s="1">
        <v>44729</v>
      </c>
      <c r="L126">
        <v>6.6</v>
      </c>
      <c r="M126">
        <v>0.5</v>
      </c>
    </row>
    <row r="127" spans="1:25" hidden="1" x14ac:dyDescent="0.25">
      <c r="A127" t="str">
        <f t="shared" si="1"/>
        <v>2022_NSW_WaggaWagga_Chickpea_DetailedTOSTOS2VarietyHatTrickWaterTrtRainFed</v>
      </c>
      <c r="B127">
        <v>2022003</v>
      </c>
      <c r="C127" t="s">
        <v>38</v>
      </c>
      <c r="D127">
        <v>2</v>
      </c>
      <c r="E127" t="s">
        <v>25</v>
      </c>
      <c r="F127" t="s">
        <v>124</v>
      </c>
      <c r="G127" t="s">
        <v>30</v>
      </c>
      <c r="I127">
        <v>2</v>
      </c>
      <c r="J127" t="s">
        <v>40</v>
      </c>
      <c r="K127" s="1">
        <v>44781</v>
      </c>
      <c r="L127">
        <v>7.8</v>
      </c>
      <c r="M127">
        <v>0.5</v>
      </c>
    </row>
    <row r="128" spans="1:25" hidden="1" x14ac:dyDescent="0.25">
      <c r="A128" t="str">
        <f t="shared" si="1"/>
        <v>2022_NSW_WaggaWagga_Chickpea_DetailedTOSTOS1VarietyStrikerWaterTrtRainFed</v>
      </c>
      <c r="B128">
        <v>2022003</v>
      </c>
      <c r="C128" t="s">
        <v>38</v>
      </c>
      <c r="D128">
        <v>2</v>
      </c>
      <c r="E128" t="s">
        <v>25</v>
      </c>
      <c r="F128" t="s">
        <v>125</v>
      </c>
      <c r="G128" t="s">
        <v>30</v>
      </c>
      <c r="I128">
        <v>1</v>
      </c>
      <c r="J128" t="s">
        <v>39</v>
      </c>
      <c r="K128" s="1">
        <v>44729</v>
      </c>
      <c r="L128">
        <v>5.8</v>
      </c>
      <c r="M128">
        <v>0.5</v>
      </c>
    </row>
    <row r="129" spans="1:13" hidden="1" x14ac:dyDescent="0.25">
      <c r="A129" t="str">
        <f t="shared" si="1"/>
        <v>2022_NSW_WaggaWagga_Chickpea_DetailedTOSTOS2VarietyStrikerWaterTrtRainFed</v>
      </c>
      <c r="B129">
        <v>2022003</v>
      </c>
      <c r="C129" t="s">
        <v>38</v>
      </c>
      <c r="D129">
        <v>2</v>
      </c>
      <c r="E129" t="s">
        <v>25</v>
      </c>
      <c r="F129" t="s">
        <v>125</v>
      </c>
      <c r="G129" t="s">
        <v>30</v>
      </c>
      <c r="I129">
        <v>2</v>
      </c>
      <c r="J129" t="s">
        <v>40</v>
      </c>
      <c r="K129" s="1">
        <v>44781</v>
      </c>
      <c r="L129">
        <v>7.6</v>
      </c>
      <c r="M129">
        <v>0.5</v>
      </c>
    </row>
    <row r="130" spans="1:13" hidden="1" x14ac:dyDescent="0.25">
      <c r="A130" t="str">
        <f t="shared" si="1"/>
        <v>2022_NSW_WaggaWagga_Chickpea_DetailedTOSTOS1VarietyCBA_CaptainWaterTrtRainFed</v>
      </c>
      <c r="B130">
        <v>2022003</v>
      </c>
      <c r="C130" t="s">
        <v>38</v>
      </c>
      <c r="D130">
        <v>3</v>
      </c>
      <c r="E130" t="s">
        <v>31</v>
      </c>
      <c r="F130" t="s">
        <v>26</v>
      </c>
      <c r="G130" t="s">
        <v>30</v>
      </c>
      <c r="I130">
        <v>1</v>
      </c>
      <c r="J130" t="s">
        <v>39</v>
      </c>
      <c r="K130" s="1">
        <v>44774</v>
      </c>
      <c r="L130">
        <v>41.2</v>
      </c>
      <c r="M130">
        <v>2.4</v>
      </c>
    </row>
    <row r="131" spans="1:13" hidden="1" x14ac:dyDescent="0.25">
      <c r="A131" t="str">
        <f t="shared" ref="A131:A194" si="2">C131&amp;"TOSTOS"&amp;I131&amp;"Variety"&amp;F131&amp;"WaterTrt"&amp;G131&amp;IF(H131="","","Agronomy"&amp;H131)</f>
        <v>2022_NSW_WaggaWagga_Chickpea_DetailedTOSTOS2VarietyCBA_CaptainWaterTrtRainFed</v>
      </c>
      <c r="B131">
        <v>2022003</v>
      </c>
      <c r="C131" t="s">
        <v>38</v>
      </c>
      <c r="D131">
        <v>3</v>
      </c>
      <c r="E131" t="s">
        <v>31</v>
      </c>
      <c r="F131" t="s">
        <v>26</v>
      </c>
      <c r="G131" t="s">
        <v>30</v>
      </c>
      <c r="I131">
        <v>2</v>
      </c>
      <c r="J131" t="s">
        <v>40</v>
      </c>
      <c r="K131" s="1">
        <v>44809</v>
      </c>
      <c r="L131">
        <v>33.200000000000003</v>
      </c>
      <c r="M131">
        <v>2.4</v>
      </c>
    </row>
    <row r="132" spans="1:13" hidden="1" x14ac:dyDescent="0.25">
      <c r="A132" t="str">
        <f t="shared" si="2"/>
        <v>2022_NSW_WaggaWagga_Chickpea_DetailedTOSTOS1VarietyDrummondWaterTrtRainFed</v>
      </c>
      <c r="B132">
        <v>2022003</v>
      </c>
      <c r="C132" t="s">
        <v>38</v>
      </c>
      <c r="D132">
        <v>3</v>
      </c>
      <c r="E132" t="s">
        <v>31</v>
      </c>
      <c r="F132" t="s">
        <v>123</v>
      </c>
      <c r="G132" t="s">
        <v>30</v>
      </c>
      <c r="I132">
        <v>1</v>
      </c>
      <c r="J132" t="s">
        <v>39</v>
      </c>
      <c r="K132" s="1">
        <v>44774</v>
      </c>
      <c r="L132">
        <v>39</v>
      </c>
      <c r="M132">
        <v>2.4</v>
      </c>
    </row>
    <row r="133" spans="1:13" hidden="1" x14ac:dyDescent="0.25">
      <c r="A133" t="str">
        <f t="shared" si="2"/>
        <v>2022_NSW_WaggaWagga_Chickpea_DetailedTOSTOS2VarietyDrummondWaterTrtRainFed</v>
      </c>
      <c r="B133">
        <v>2022003</v>
      </c>
      <c r="C133" t="s">
        <v>38</v>
      </c>
      <c r="D133">
        <v>3</v>
      </c>
      <c r="E133" t="s">
        <v>31</v>
      </c>
      <c r="F133" t="s">
        <v>123</v>
      </c>
      <c r="G133" t="s">
        <v>30</v>
      </c>
      <c r="I133">
        <v>2</v>
      </c>
      <c r="J133" t="s">
        <v>40</v>
      </c>
      <c r="K133" s="1">
        <v>44809</v>
      </c>
      <c r="L133">
        <v>27.2</v>
      </c>
      <c r="M133">
        <v>2.4</v>
      </c>
    </row>
    <row r="134" spans="1:13" hidden="1" x14ac:dyDescent="0.25">
      <c r="A134" t="str">
        <f t="shared" si="2"/>
        <v>2022_NSW_WaggaWagga_Chickpea_DetailedTOSTOS1VarietyHatTrickWaterTrtRainFed</v>
      </c>
      <c r="B134">
        <v>2022003</v>
      </c>
      <c r="C134" t="s">
        <v>38</v>
      </c>
      <c r="D134">
        <v>3</v>
      </c>
      <c r="E134" t="s">
        <v>31</v>
      </c>
      <c r="F134" t="s">
        <v>124</v>
      </c>
      <c r="G134" t="s">
        <v>30</v>
      </c>
      <c r="I134">
        <v>1</v>
      </c>
      <c r="J134" t="s">
        <v>39</v>
      </c>
      <c r="K134" s="1">
        <v>44774</v>
      </c>
      <c r="L134">
        <v>35</v>
      </c>
      <c r="M134">
        <v>2.4</v>
      </c>
    </row>
    <row r="135" spans="1:13" hidden="1" x14ac:dyDescent="0.25">
      <c r="A135" t="str">
        <f t="shared" si="2"/>
        <v>2022_NSW_WaggaWagga_Chickpea_DetailedTOSTOS2VarietyHatTrickWaterTrtRainFed</v>
      </c>
      <c r="B135">
        <v>2022003</v>
      </c>
      <c r="C135" t="s">
        <v>38</v>
      </c>
      <c r="D135">
        <v>3</v>
      </c>
      <c r="E135" t="s">
        <v>31</v>
      </c>
      <c r="F135" t="s">
        <v>124</v>
      </c>
      <c r="G135" t="s">
        <v>30</v>
      </c>
      <c r="I135">
        <v>2</v>
      </c>
      <c r="J135" t="s">
        <v>40</v>
      </c>
      <c r="K135" s="1">
        <v>44809</v>
      </c>
      <c r="L135">
        <v>23.5</v>
      </c>
      <c r="M135">
        <v>2.4</v>
      </c>
    </row>
    <row r="136" spans="1:13" hidden="1" x14ac:dyDescent="0.25">
      <c r="A136" t="str">
        <f t="shared" si="2"/>
        <v>2022_NSW_WaggaWagga_Chickpea_DetailedTOSTOS1VarietyStrikerWaterTrtRainFed</v>
      </c>
      <c r="B136">
        <v>2022003</v>
      </c>
      <c r="C136" t="s">
        <v>38</v>
      </c>
      <c r="D136">
        <v>3</v>
      </c>
      <c r="E136" t="s">
        <v>31</v>
      </c>
      <c r="F136" t="s">
        <v>125</v>
      </c>
      <c r="G136" t="s">
        <v>30</v>
      </c>
      <c r="I136">
        <v>1</v>
      </c>
      <c r="J136" t="s">
        <v>39</v>
      </c>
      <c r="K136" s="1">
        <v>44774</v>
      </c>
      <c r="L136">
        <v>34.1</v>
      </c>
      <c r="M136">
        <v>2.4</v>
      </c>
    </row>
    <row r="137" spans="1:13" hidden="1" x14ac:dyDescent="0.25">
      <c r="A137" t="str">
        <f t="shared" si="2"/>
        <v>2022_NSW_WaggaWagga_Chickpea_DetailedTOSTOS2VarietyStrikerWaterTrtRainFed</v>
      </c>
      <c r="B137">
        <v>2022003</v>
      </c>
      <c r="C137" t="s">
        <v>38</v>
      </c>
      <c r="D137">
        <v>3</v>
      </c>
      <c r="E137" t="s">
        <v>31</v>
      </c>
      <c r="F137" t="s">
        <v>125</v>
      </c>
      <c r="G137" t="s">
        <v>30</v>
      </c>
      <c r="I137">
        <v>2</v>
      </c>
      <c r="J137" t="s">
        <v>40</v>
      </c>
      <c r="K137" s="1">
        <v>44809</v>
      </c>
      <c r="L137">
        <v>23.2</v>
      </c>
      <c r="M137">
        <v>2.4</v>
      </c>
    </row>
    <row r="138" spans="1:13" hidden="1" x14ac:dyDescent="0.25">
      <c r="A138" t="str">
        <f t="shared" si="2"/>
        <v>2022_NSW_WaggaWagga_Chickpea_DetailedTOSTOS1VarietyCBA_CaptainWaterTrtRainFed</v>
      </c>
      <c r="B138">
        <v>2022003</v>
      </c>
      <c r="C138" t="s">
        <v>38</v>
      </c>
      <c r="D138">
        <v>4</v>
      </c>
      <c r="E138" t="s">
        <v>32</v>
      </c>
      <c r="F138" t="s">
        <v>26</v>
      </c>
      <c r="G138" t="s">
        <v>30</v>
      </c>
      <c r="I138">
        <v>1</v>
      </c>
      <c r="J138" t="s">
        <v>39</v>
      </c>
      <c r="K138" s="1">
        <v>44823</v>
      </c>
      <c r="L138">
        <v>316.60000000000002</v>
      </c>
      <c r="M138">
        <v>26</v>
      </c>
    </row>
    <row r="139" spans="1:13" hidden="1" x14ac:dyDescent="0.25">
      <c r="A139" t="str">
        <f t="shared" si="2"/>
        <v>2022_NSW_WaggaWagga_Chickpea_DetailedTOSTOS2VarietyCBA_CaptainWaterTrtRainFed</v>
      </c>
      <c r="B139">
        <v>2022003</v>
      </c>
      <c r="C139" t="s">
        <v>38</v>
      </c>
      <c r="D139">
        <v>4</v>
      </c>
      <c r="E139" t="s">
        <v>32</v>
      </c>
      <c r="F139" t="s">
        <v>26</v>
      </c>
      <c r="G139" t="s">
        <v>30</v>
      </c>
      <c r="I139">
        <v>2</v>
      </c>
      <c r="J139" t="s">
        <v>40</v>
      </c>
      <c r="K139" s="1">
        <v>44852</v>
      </c>
      <c r="L139">
        <v>356.3</v>
      </c>
      <c r="M139">
        <v>26</v>
      </c>
    </row>
    <row r="140" spans="1:13" hidden="1" x14ac:dyDescent="0.25">
      <c r="A140" t="str">
        <f t="shared" si="2"/>
        <v>2022_NSW_WaggaWagga_Chickpea_DetailedTOSTOS1VarietyDrummondWaterTrtRainFed</v>
      </c>
      <c r="B140">
        <v>2022003</v>
      </c>
      <c r="C140" t="s">
        <v>38</v>
      </c>
      <c r="D140">
        <v>4</v>
      </c>
      <c r="E140" t="s">
        <v>32</v>
      </c>
      <c r="F140" t="s">
        <v>123</v>
      </c>
      <c r="G140" t="s">
        <v>30</v>
      </c>
      <c r="I140">
        <v>1</v>
      </c>
      <c r="J140" t="s">
        <v>39</v>
      </c>
      <c r="K140" s="1">
        <v>44845</v>
      </c>
      <c r="L140">
        <v>619.1</v>
      </c>
      <c r="M140">
        <v>26</v>
      </c>
    </row>
    <row r="141" spans="1:13" hidden="1" x14ac:dyDescent="0.25">
      <c r="A141" t="str">
        <f t="shared" si="2"/>
        <v>2022_NSW_WaggaWagga_Chickpea_DetailedTOSTOS2VarietyDrummondWaterTrtRainFed</v>
      </c>
      <c r="B141">
        <v>2022003</v>
      </c>
      <c r="C141" t="s">
        <v>38</v>
      </c>
      <c r="D141">
        <v>4</v>
      </c>
      <c r="E141" t="s">
        <v>32</v>
      </c>
      <c r="F141" t="s">
        <v>123</v>
      </c>
      <c r="G141" t="s">
        <v>30</v>
      </c>
      <c r="I141">
        <v>2</v>
      </c>
      <c r="J141" t="s">
        <v>40</v>
      </c>
      <c r="K141" s="1">
        <v>44861</v>
      </c>
      <c r="L141">
        <v>576.1</v>
      </c>
      <c r="M141">
        <v>29</v>
      </c>
    </row>
    <row r="142" spans="1:13" hidden="1" x14ac:dyDescent="0.25">
      <c r="A142" t="str">
        <f t="shared" si="2"/>
        <v>2022_NSW_WaggaWagga_Chickpea_DetailedTOSTOS1VarietyHatTrickWaterTrtRainFed</v>
      </c>
      <c r="B142">
        <v>2022003</v>
      </c>
      <c r="C142" t="s">
        <v>38</v>
      </c>
      <c r="D142">
        <v>4</v>
      </c>
      <c r="E142" t="s">
        <v>32</v>
      </c>
      <c r="F142" t="s">
        <v>124</v>
      </c>
      <c r="G142" t="s">
        <v>30</v>
      </c>
      <c r="I142">
        <v>1</v>
      </c>
      <c r="J142" t="s">
        <v>39</v>
      </c>
      <c r="K142" s="1">
        <v>44852</v>
      </c>
      <c r="L142">
        <v>688.2</v>
      </c>
      <c r="M142">
        <v>26</v>
      </c>
    </row>
    <row r="143" spans="1:13" hidden="1" x14ac:dyDescent="0.25">
      <c r="A143" t="str">
        <f t="shared" si="2"/>
        <v>2022_NSW_WaggaWagga_Chickpea_DetailedTOSTOS2VarietyHatTrickWaterTrtRainFed</v>
      </c>
      <c r="B143">
        <v>2022003</v>
      </c>
      <c r="C143" t="s">
        <v>38</v>
      </c>
      <c r="D143">
        <v>4</v>
      </c>
      <c r="E143" t="s">
        <v>32</v>
      </c>
      <c r="F143" t="s">
        <v>124</v>
      </c>
      <c r="G143" t="s">
        <v>30</v>
      </c>
      <c r="I143">
        <v>2</v>
      </c>
      <c r="J143" t="s">
        <v>40</v>
      </c>
      <c r="K143" s="1">
        <v>44861</v>
      </c>
      <c r="L143">
        <v>563.9</v>
      </c>
      <c r="M143">
        <v>29</v>
      </c>
    </row>
    <row r="144" spans="1:13" hidden="1" x14ac:dyDescent="0.25">
      <c r="A144" t="str">
        <f t="shared" si="2"/>
        <v>2022_NSW_WaggaWagga_Chickpea_DetailedTOSTOS1VarietyStrikerWaterTrtRainFed</v>
      </c>
      <c r="B144">
        <v>2022003</v>
      </c>
      <c r="C144" t="s">
        <v>38</v>
      </c>
      <c r="D144">
        <v>4</v>
      </c>
      <c r="E144" t="s">
        <v>32</v>
      </c>
      <c r="F144" t="s">
        <v>125</v>
      </c>
      <c r="G144" t="s">
        <v>30</v>
      </c>
      <c r="I144">
        <v>1</v>
      </c>
      <c r="J144" t="s">
        <v>39</v>
      </c>
      <c r="K144" s="1">
        <v>44830</v>
      </c>
      <c r="L144">
        <v>327.9</v>
      </c>
      <c r="M144">
        <v>26</v>
      </c>
    </row>
    <row r="145" spans="1:25" hidden="1" x14ac:dyDescent="0.25">
      <c r="A145" t="str">
        <f t="shared" si="2"/>
        <v>2022_NSW_WaggaWagga_Chickpea_DetailedTOSTOS2VarietyStrikerWaterTrtRainFed</v>
      </c>
      <c r="B145">
        <v>2022003</v>
      </c>
      <c r="C145" t="s">
        <v>38</v>
      </c>
      <c r="D145">
        <v>4</v>
      </c>
      <c r="E145" t="s">
        <v>32</v>
      </c>
      <c r="F145" t="s">
        <v>125</v>
      </c>
      <c r="G145" t="s">
        <v>30</v>
      </c>
      <c r="I145">
        <v>2</v>
      </c>
      <c r="J145" t="s">
        <v>40</v>
      </c>
      <c r="K145" s="1">
        <v>44861</v>
      </c>
      <c r="L145">
        <v>595.9</v>
      </c>
      <c r="M145">
        <v>29</v>
      </c>
    </row>
    <row r="146" spans="1:25" hidden="1" x14ac:dyDescent="0.25">
      <c r="A146" t="str">
        <f t="shared" si="2"/>
        <v>2022_NSW_WaggaWagga_Chickpea_DetailedTOSTOS1VarietyCBA_CaptainWaterTrtRainFed</v>
      </c>
      <c r="B146">
        <v>2022003</v>
      </c>
      <c r="C146" t="s">
        <v>38</v>
      </c>
      <c r="D146">
        <v>5</v>
      </c>
      <c r="E146" t="s">
        <v>33</v>
      </c>
      <c r="F146" t="s">
        <v>26</v>
      </c>
      <c r="G146" t="s">
        <v>30</v>
      </c>
      <c r="I146">
        <v>1</v>
      </c>
      <c r="J146" t="s">
        <v>39</v>
      </c>
      <c r="K146" s="1">
        <v>44887</v>
      </c>
      <c r="L146">
        <v>1480.9</v>
      </c>
      <c r="M146">
        <v>71</v>
      </c>
    </row>
    <row r="147" spans="1:25" hidden="1" x14ac:dyDescent="0.25">
      <c r="A147" t="str">
        <f t="shared" si="2"/>
        <v>2022_NSW_WaggaWagga_Chickpea_DetailedTOSTOS2VarietyCBA_CaptainWaterTrtRainFed</v>
      </c>
      <c r="B147">
        <v>2022003</v>
      </c>
      <c r="C147" t="s">
        <v>38</v>
      </c>
      <c r="D147">
        <v>5</v>
      </c>
      <c r="E147" t="s">
        <v>33</v>
      </c>
      <c r="F147" t="s">
        <v>26</v>
      </c>
      <c r="G147" t="s">
        <v>30</v>
      </c>
      <c r="I147">
        <v>2</v>
      </c>
      <c r="J147" t="s">
        <v>40</v>
      </c>
      <c r="K147" s="1">
        <v>44893</v>
      </c>
      <c r="L147">
        <v>1272.4000000000001</v>
      </c>
      <c r="M147">
        <v>71</v>
      </c>
    </row>
    <row r="148" spans="1:25" hidden="1" x14ac:dyDescent="0.25">
      <c r="A148" t="str">
        <f t="shared" si="2"/>
        <v>2022_NSW_WaggaWagga_Chickpea_DetailedTOSTOS1VarietyDrummondWaterTrtRainFed</v>
      </c>
      <c r="B148">
        <v>2022003</v>
      </c>
      <c r="C148" t="s">
        <v>38</v>
      </c>
      <c r="D148">
        <v>5</v>
      </c>
      <c r="E148" t="s">
        <v>33</v>
      </c>
      <c r="F148" t="s">
        <v>123</v>
      </c>
      <c r="G148" t="s">
        <v>30</v>
      </c>
      <c r="I148">
        <v>1</v>
      </c>
      <c r="J148" t="s">
        <v>39</v>
      </c>
      <c r="K148" s="1">
        <v>44887</v>
      </c>
      <c r="L148">
        <v>1374.4</v>
      </c>
      <c r="M148">
        <v>71</v>
      </c>
    </row>
    <row r="149" spans="1:25" hidden="1" x14ac:dyDescent="0.25">
      <c r="A149" t="str">
        <f t="shared" si="2"/>
        <v>2022_NSW_WaggaWagga_Chickpea_DetailedTOSTOS2VarietyDrummondWaterTrtRainFed</v>
      </c>
      <c r="B149">
        <v>2022003</v>
      </c>
      <c r="C149" t="s">
        <v>38</v>
      </c>
      <c r="D149">
        <v>5</v>
      </c>
      <c r="E149" t="s">
        <v>33</v>
      </c>
      <c r="F149" t="s">
        <v>123</v>
      </c>
      <c r="G149" t="s">
        <v>30</v>
      </c>
      <c r="I149">
        <v>2</v>
      </c>
      <c r="J149" t="s">
        <v>40</v>
      </c>
      <c r="K149" s="1">
        <v>44901</v>
      </c>
      <c r="L149">
        <v>1408.5</v>
      </c>
      <c r="M149">
        <v>71</v>
      </c>
    </row>
    <row r="150" spans="1:25" hidden="1" x14ac:dyDescent="0.25">
      <c r="A150" t="str">
        <f t="shared" si="2"/>
        <v>2022_NSW_WaggaWagga_Chickpea_DetailedTOSTOS1VarietyHatTrickWaterTrtRainFed</v>
      </c>
      <c r="B150">
        <v>2022003</v>
      </c>
      <c r="C150" t="s">
        <v>38</v>
      </c>
      <c r="D150">
        <v>5</v>
      </c>
      <c r="E150" t="s">
        <v>33</v>
      </c>
      <c r="F150" t="s">
        <v>124</v>
      </c>
      <c r="G150" t="s">
        <v>30</v>
      </c>
      <c r="I150">
        <v>1</v>
      </c>
      <c r="J150" t="s">
        <v>39</v>
      </c>
      <c r="K150" s="1">
        <v>44893</v>
      </c>
      <c r="L150">
        <v>1321.9</v>
      </c>
      <c r="M150">
        <v>80</v>
      </c>
    </row>
    <row r="151" spans="1:25" hidden="1" x14ac:dyDescent="0.25">
      <c r="A151" t="str">
        <f t="shared" si="2"/>
        <v>2022_NSW_WaggaWagga_Chickpea_DetailedTOSTOS2VarietyHatTrickWaterTrtRainFed</v>
      </c>
      <c r="B151">
        <v>2022003</v>
      </c>
      <c r="C151" t="s">
        <v>38</v>
      </c>
      <c r="D151">
        <v>5</v>
      </c>
      <c r="E151" t="s">
        <v>33</v>
      </c>
      <c r="F151" t="s">
        <v>124</v>
      </c>
      <c r="G151" t="s">
        <v>30</v>
      </c>
      <c r="I151">
        <v>2</v>
      </c>
      <c r="J151" t="s">
        <v>40</v>
      </c>
      <c r="K151" s="1">
        <v>44901</v>
      </c>
      <c r="L151">
        <v>1381</v>
      </c>
      <c r="M151">
        <v>71</v>
      </c>
    </row>
    <row r="152" spans="1:25" hidden="1" x14ac:dyDescent="0.25">
      <c r="A152" t="str">
        <f t="shared" si="2"/>
        <v>2022_NSW_WaggaWagga_Chickpea_DetailedTOSTOS1VarietyStrikerWaterTrtRainFed</v>
      </c>
      <c r="B152">
        <v>2022003</v>
      </c>
      <c r="C152" t="s">
        <v>38</v>
      </c>
      <c r="D152">
        <v>5</v>
      </c>
      <c r="E152" t="s">
        <v>33</v>
      </c>
      <c r="F152" t="s">
        <v>125</v>
      </c>
      <c r="G152" t="s">
        <v>30</v>
      </c>
      <c r="I152">
        <v>1</v>
      </c>
      <c r="J152" t="s">
        <v>39</v>
      </c>
      <c r="K152" s="1">
        <v>44901</v>
      </c>
      <c r="L152">
        <v>1620.6</v>
      </c>
      <c r="M152">
        <v>71</v>
      </c>
    </row>
    <row r="153" spans="1:25" hidden="1" x14ac:dyDescent="0.25">
      <c r="A153" t="str">
        <f t="shared" si="2"/>
        <v>2022_NSW_WaggaWagga_Chickpea_DetailedTOSTOS2VarietyStrikerWaterTrtRainFed</v>
      </c>
      <c r="B153">
        <v>2022003</v>
      </c>
      <c r="C153" t="s">
        <v>38</v>
      </c>
      <c r="D153">
        <v>5</v>
      </c>
      <c r="E153" t="s">
        <v>33</v>
      </c>
      <c r="F153" t="s">
        <v>125</v>
      </c>
      <c r="G153" t="s">
        <v>30</v>
      </c>
      <c r="I153">
        <v>2</v>
      </c>
      <c r="J153" t="s">
        <v>40</v>
      </c>
      <c r="K153" s="1">
        <v>44903</v>
      </c>
      <c r="L153">
        <v>1416.7</v>
      </c>
      <c r="M153">
        <v>71</v>
      </c>
    </row>
    <row r="154" spans="1:25" hidden="1" x14ac:dyDescent="0.25">
      <c r="A154" t="str">
        <f t="shared" si="2"/>
        <v>2022_NSW_WaggaWagga_Chickpea_DetailedTOSTOS1VarietyCBA_CaptainWaterTrtRainFed</v>
      </c>
      <c r="B154">
        <v>2022003</v>
      </c>
      <c r="C154" t="s">
        <v>38</v>
      </c>
      <c r="D154">
        <v>6</v>
      </c>
      <c r="E154" t="s">
        <v>34</v>
      </c>
      <c r="F154" t="s">
        <v>26</v>
      </c>
      <c r="G154" t="s">
        <v>30</v>
      </c>
      <c r="I154">
        <v>1</v>
      </c>
      <c r="J154" t="s">
        <v>39</v>
      </c>
      <c r="K154" s="1">
        <v>44930</v>
      </c>
      <c r="L154">
        <v>1451.4</v>
      </c>
      <c r="M154">
        <v>120</v>
      </c>
      <c r="N154">
        <v>0.152</v>
      </c>
      <c r="O154">
        <v>1.2999999999999999E-2</v>
      </c>
      <c r="P154">
        <v>1061</v>
      </c>
      <c r="Q154">
        <v>200</v>
      </c>
      <c r="T154">
        <v>1368</v>
      </c>
      <c r="U154">
        <v>200</v>
      </c>
      <c r="X154">
        <v>222</v>
      </c>
      <c r="Y154">
        <v>33</v>
      </c>
    </row>
    <row r="155" spans="1:25" hidden="1" x14ac:dyDescent="0.25">
      <c r="A155" t="str">
        <f t="shared" si="2"/>
        <v>2022_NSW_WaggaWagga_Chickpea_DetailedTOSTOS2VarietyCBA_CaptainWaterTrtRainFed</v>
      </c>
      <c r="B155">
        <v>2022003</v>
      </c>
      <c r="C155" t="s">
        <v>38</v>
      </c>
      <c r="D155">
        <v>6</v>
      </c>
      <c r="E155" t="s">
        <v>34</v>
      </c>
      <c r="F155" t="s">
        <v>26</v>
      </c>
      <c r="G155" t="s">
        <v>30</v>
      </c>
      <c r="I155">
        <v>2</v>
      </c>
      <c r="J155" t="s">
        <v>40</v>
      </c>
      <c r="K155" s="1">
        <v>44930</v>
      </c>
      <c r="L155">
        <v>1601.9</v>
      </c>
      <c r="M155">
        <v>120</v>
      </c>
      <c r="N155">
        <v>0.19500000000000001</v>
      </c>
      <c r="O155">
        <v>1.2E-2</v>
      </c>
      <c r="P155">
        <v>1584</v>
      </c>
      <c r="Q155">
        <v>190</v>
      </c>
      <c r="T155">
        <v>1841</v>
      </c>
      <c r="U155">
        <v>190</v>
      </c>
      <c r="X155">
        <v>320</v>
      </c>
      <c r="Y155">
        <v>31</v>
      </c>
    </row>
    <row r="156" spans="1:25" hidden="1" x14ac:dyDescent="0.25">
      <c r="A156" t="str">
        <f t="shared" si="2"/>
        <v>2022_NSW_WaggaWagga_Chickpea_DetailedTOSTOS1VarietyDrummondWaterTrtRainFed</v>
      </c>
      <c r="B156">
        <v>2022003</v>
      </c>
      <c r="C156" t="s">
        <v>38</v>
      </c>
      <c r="D156">
        <v>6</v>
      </c>
      <c r="E156" t="s">
        <v>34</v>
      </c>
      <c r="F156" t="s">
        <v>123</v>
      </c>
      <c r="G156" t="s">
        <v>30</v>
      </c>
      <c r="I156">
        <v>1</v>
      </c>
      <c r="J156" t="s">
        <v>39</v>
      </c>
      <c r="K156" s="1">
        <v>44930</v>
      </c>
      <c r="L156">
        <v>1398.5</v>
      </c>
      <c r="M156">
        <v>120</v>
      </c>
      <c r="N156">
        <v>0.14199999999999999</v>
      </c>
      <c r="O156">
        <v>1.2E-2</v>
      </c>
      <c r="P156">
        <v>1084</v>
      </c>
      <c r="Q156">
        <v>200</v>
      </c>
      <c r="T156">
        <v>1470</v>
      </c>
      <c r="U156">
        <v>190</v>
      </c>
      <c r="X156">
        <v>203</v>
      </c>
      <c r="Y156">
        <v>31</v>
      </c>
    </row>
    <row r="157" spans="1:25" hidden="1" x14ac:dyDescent="0.25">
      <c r="A157" t="str">
        <f t="shared" si="2"/>
        <v>2022_NSW_WaggaWagga_Chickpea_DetailedTOSTOS2VarietyDrummondWaterTrtRainFed</v>
      </c>
      <c r="B157">
        <v>2022003</v>
      </c>
      <c r="C157" t="s">
        <v>38</v>
      </c>
      <c r="D157">
        <v>6</v>
      </c>
      <c r="E157" t="s">
        <v>34</v>
      </c>
      <c r="F157" t="s">
        <v>123</v>
      </c>
      <c r="G157" t="s">
        <v>30</v>
      </c>
      <c r="I157">
        <v>2</v>
      </c>
      <c r="J157" t="s">
        <v>40</v>
      </c>
      <c r="K157" s="1">
        <v>44930</v>
      </c>
      <c r="L157">
        <v>1353.4</v>
      </c>
      <c r="M157">
        <v>120</v>
      </c>
      <c r="N157">
        <v>0.16200000000000001</v>
      </c>
      <c r="O157">
        <v>1.2E-2</v>
      </c>
      <c r="P157">
        <v>1157</v>
      </c>
      <c r="Q157">
        <v>200</v>
      </c>
      <c r="T157">
        <v>1458</v>
      </c>
      <c r="U157">
        <v>190</v>
      </c>
      <c r="X157">
        <v>223</v>
      </c>
      <c r="Y157">
        <v>31</v>
      </c>
    </row>
    <row r="158" spans="1:25" hidden="1" x14ac:dyDescent="0.25">
      <c r="A158" t="str">
        <f t="shared" si="2"/>
        <v>2022_NSW_WaggaWagga_Chickpea_DetailedTOSTOS1VarietyHatTrickWaterTrtRainFed</v>
      </c>
      <c r="B158">
        <v>2022003</v>
      </c>
      <c r="C158" t="s">
        <v>38</v>
      </c>
      <c r="D158">
        <v>6</v>
      </c>
      <c r="E158" t="s">
        <v>34</v>
      </c>
      <c r="F158" t="s">
        <v>124</v>
      </c>
      <c r="G158" t="s">
        <v>30</v>
      </c>
      <c r="I158">
        <v>1</v>
      </c>
      <c r="J158" t="s">
        <v>39</v>
      </c>
      <c r="K158" s="1">
        <v>44930</v>
      </c>
      <c r="L158">
        <v>1406.5</v>
      </c>
      <c r="M158">
        <v>120</v>
      </c>
      <c r="N158">
        <v>0.13500000000000001</v>
      </c>
      <c r="O158">
        <v>1.2E-2</v>
      </c>
      <c r="P158">
        <v>1820</v>
      </c>
      <c r="Q158">
        <v>200</v>
      </c>
      <c r="T158">
        <v>1660</v>
      </c>
      <c r="U158">
        <v>190</v>
      </c>
      <c r="X158">
        <v>199</v>
      </c>
      <c r="Y158">
        <v>31</v>
      </c>
    </row>
    <row r="159" spans="1:25" hidden="1" x14ac:dyDescent="0.25">
      <c r="A159" t="str">
        <f t="shared" si="2"/>
        <v>2022_NSW_WaggaWagga_Chickpea_DetailedTOSTOS2VarietyHatTrickWaterTrtRainFed</v>
      </c>
      <c r="B159">
        <v>2022003</v>
      </c>
      <c r="C159" t="s">
        <v>38</v>
      </c>
      <c r="D159">
        <v>6</v>
      </c>
      <c r="E159" t="s">
        <v>34</v>
      </c>
      <c r="F159" t="s">
        <v>124</v>
      </c>
      <c r="G159" t="s">
        <v>30</v>
      </c>
      <c r="I159">
        <v>2</v>
      </c>
      <c r="J159" t="s">
        <v>40</v>
      </c>
      <c r="K159" s="1">
        <v>44930</v>
      </c>
      <c r="L159">
        <v>1445.6</v>
      </c>
      <c r="M159">
        <v>120</v>
      </c>
      <c r="N159">
        <v>0.16500000000000001</v>
      </c>
      <c r="O159">
        <v>1.2E-2</v>
      </c>
      <c r="P159">
        <v>2455</v>
      </c>
      <c r="Q159">
        <v>200</v>
      </c>
      <c r="T159">
        <v>1671</v>
      </c>
      <c r="U159">
        <v>200</v>
      </c>
      <c r="X159">
        <v>242</v>
      </c>
      <c r="Y159">
        <v>31</v>
      </c>
    </row>
    <row r="160" spans="1:25" hidden="1" x14ac:dyDescent="0.25">
      <c r="A160" t="str">
        <f t="shared" si="2"/>
        <v>2022_NSW_WaggaWagga_Chickpea_DetailedTOSTOS1VarietyStrikerWaterTrtRainFed</v>
      </c>
      <c r="B160">
        <v>2022003</v>
      </c>
      <c r="C160" t="s">
        <v>38</v>
      </c>
      <c r="D160">
        <v>6</v>
      </c>
      <c r="E160" t="s">
        <v>34</v>
      </c>
      <c r="F160" t="s">
        <v>125</v>
      </c>
      <c r="G160" t="s">
        <v>30</v>
      </c>
      <c r="I160">
        <v>1</v>
      </c>
      <c r="J160" t="s">
        <v>39</v>
      </c>
      <c r="K160" s="1">
        <v>44930</v>
      </c>
      <c r="L160">
        <v>1206.4000000000001</v>
      </c>
      <c r="M160">
        <v>120</v>
      </c>
      <c r="N160">
        <v>0.185</v>
      </c>
      <c r="O160">
        <v>1.2E-2</v>
      </c>
      <c r="P160">
        <v>1084</v>
      </c>
      <c r="Q160">
        <v>190</v>
      </c>
      <c r="T160">
        <v>1310</v>
      </c>
      <c r="U160">
        <v>190</v>
      </c>
      <c r="X160">
        <v>226</v>
      </c>
      <c r="Y160">
        <v>31</v>
      </c>
    </row>
    <row r="161" spans="1:25" hidden="1" x14ac:dyDescent="0.25">
      <c r="A161" t="str">
        <f t="shared" si="2"/>
        <v>2022_NSW_WaggaWagga_Chickpea_DetailedTOSTOS2VarietyStrikerWaterTrtRainFed</v>
      </c>
      <c r="B161">
        <v>2022003</v>
      </c>
      <c r="C161" t="s">
        <v>38</v>
      </c>
      <c r="D161">
        <v>6</v>
      </c>
      <c r="E161" t="s">
        <v>34</v>
      </c>
      <c r="F161" t="s">
        <v>125</v>
      </c>
      <c r="G161" t="s">
        <v>30</v>
      </c>
      <c r="I161">
        <v>2</v>
      </c>
      <c r="J161" t="s">
        <v>40</v>
      </c>
      <c r="K161" s="1">
        <v>44930</v>
      </c>
      <c r="L161">
        <v>1183.4000000000001</v>
      </c>
      <c r="M161">
        <v>120</v>
      </c>
      <c r="N161">
        <v>0.188</v>
      </c>
      <c r="O161">
        <v>1.2E-2</v>
      </c>
      <c r="P161">
        <v>1139</v>
      </c>
      <c r="Q161">
        <v>190</v>
      </c>
      <c r="T161">
        <v>1226</v>
      </c>
      <c r="U161">
        <v>190</v>
      </c>
      <c r="X161">
        <v>233</v>
      </c>
      <c r="Y161">
        <v>31</v>
      </c>
    </row>
    <row r="162" spans="1:25" hidden="1" x14ac:dyDescent="0.25">
      <c r="A162" t="str">
        <f t="shared" si="2"/>
        <v>2022_SA_Riverton_Fababean_DetailedTOSTOS1VarietyAmberleyWaterTrtRainFed</v>
      </c>
      <c r="B162">
        <v>2022004</v>
      </c>
      <c r="C162" t="s">
        <v>41</v>
      </c>
      <c r="D162">
        <v>2</v>
      </c>
      <c r="E162" t="s">
        <v>25</v>
      </c>
      <c r="F162" t="s">
        <v>126</v>
      </c>
      <c r="G162" t="s">
        <v>30</v>
      </c>
      <c r="I162">
        <v>1</v>
      </c>
      <c r="J162" t="s">
        <v>42</v>
      </c>
      <c r="K162" s="1">
        <v>44792</v>
      </c>
      <c r="L162">
        <v>47.414999999996198</v>
      </c>
      <c r="M162">
        <v>4.5863092418053002</v>
      </c>
    </row>
    <row r="163" spans="1:25" hidden="1" x14ac:dyDescent="0.25">
      <c r="A163" t="str">
        <f t="shared" si="2"/>
        <v>2022_SA_Riverton_Fababean_DetailedTOSTOS2VarietyAmberleyWaterTrtRainFed</v>
      </c>
      <c r="B163">
        <v>2022004</v>
      </c>
      <c r="C163" t="s">
        <v>41</v>
      </c>
      <c r="D163">
        <v>2</v>
      </c>
      <c r="E163" t="s">
        <v>25</v>
      </c>
      <c r="F163" t="s">
        <v>126</v>
      </c>
      <c r="G163" t="s">
        <v>30</v>
      </c>
      <c r="I163">
        <v>2</v>
      </c>
      <c r="J163" t="s">
        <v>43</v>
      </c>
      <c r="K163" s="1">
        <v>44816</v>
      </c>
      <c r="L163">
        <v>56.801249999998802</v>
      </c>
      <c r="M163">
        <v>4.58630924180554</v>
      </c>
    </row>
    <row r="164" spans="1:25" hidden="1" x14ac:dyDescent="0.25">
      <c r="A164" t="str">
        <f t="shared" si="2"/>
        <v>2022_SA_Riverton_Fababean_DetailedTOSTOS1VarietyMarneWaterTrtRainFed</v>
      </c>
      <c r="B164">
        <v>2022004</v>
      </c>
      <c r="C164" t="s">
        <v>41</v>
      </c>
      <c r="D164">
        <v>2</v>
      </c>
      <c r="E164" t="s">
        <v>25</v>
      </c>
      <c r="F164" t="s">
        <v>127</v>
      </c>
      <c r="G164" t="s">
        <v>30</v>
      </c>
      <c r="I164">
        <v>1</v>
      </c>
      <c r="J164" t="s">
        <v>42</v>
      </c>
      <c r="K164" s="1">
        <v>44792</v>
      </c>
      <c r="L164">
        <v>31.841249999998901</v>
      </c>
      <c r="M164">
        <v>4.5863092418055302</v>
      </c>
    </row>
    <row r="165" spans="1:25" hidden="1" x14ac:dyDescent="0.25">
      <c r="A165" t="str">
        <f t="shared" si="2"/>
        <v>2022_SA_Riverton_Fababean_DetailedTOSTOS2VarietyMarneWaterTrtRainFed</v>
      </c>
      <c r="B165">
        <v>2022004</v>
      </c>
      <c r="C165" t="s">
        <v>41</v>
      </c>
      <c r="D165">
        <v>2</v>
      </c>
      <c r="E165" t="s">
        <v>25</v>
      </c>
      <c r="F165" t="s">
        <v>127</v>
      </c>
      <c r="G165" t="s">
        <v>30</v>
      </c>
      <c r="I165">
        <v>2</v>
      </c>
      <c r="J165" t="s">
        <v>43</v>
      </c>
      <c r="K165" s="1">
        <v>44816</v>
      </c>
      <c r="L165">
        <v>49.078749999998699</v>
      </c>
      <c r="M165">
        <v>4.5863092418055302</v>
      </c>
    </row>
    <row r="166" spans="1:25" hidden="1" x14ac:dyDescent="0.25">
      <c r="A166" t="str">
        <f t="shared" si="2"/>
        <v>2022_SA_Riverton_Fababean_DetailedTOSTOS1VarietyNasmaWaterTrtRainFed</v>
      </c>
      <c r="B166">
        <v>2022004</v>
      </c>
      <c r="C166" t="s">
        <v>41</v>
      </c>
      <c r="D166">
        <v>2</v>
      </c>
      <c r="E166" t="s">
        <v>25</v>
      </c>
      <c r="F166" t="s">
        <v>128</v>
      </c>
      <c r="G166" t="s">
        <v>30</v>
      </c>
      <c r="I166">
        <v>1</v>
      </c>
      <c r="J166" t="s">
        <v>42</v>
      </c>
      <c r="K166" s="1">
        <v>44792</v>
      </c>
      <c r="L166">
        <v>44.712500552353703</v>
      </c>
      <c r="M166">
        <v>4.5863093024941</v>
      </c>
    </row>
    <row r="167" spans="1:25" hidden="1" x14ac:dyDescent="0.25">
      <c r="A167" t="str">
        <f t="shared" si="2"/>
        <v>2022_SA_Riverton_Fababean_DetailedTOSTOS2VarietyNasmaWaterTrtRainFed</v>
      </c>
      <c r="B167">
        <v>2022004</v>
      </c>
      <c r="C167" t="s">
        <v>41</v>
      </c>
      <c r="D167">
        <v>2</v>
      </c>
      <c r="E167" t="s">
        <v>25</v>
      </c>
      <c r="F167" t="s">
        <v>128</v>
      </c>
      <c r="G167" t="s">
        <v>30</v>
      </c>
      <c r="I167">
        <v>2</v>
      </c>
      <c r="J167" t="s">
        <v>43</v>
      </c>
      <c r="K167" s="1">
        <v>44816</v>
      </c>
      <c r="L167">
        <v>55.4962494476435</v>
      </c>
      <c r="M167">
        <v>4.5863093024941</v>
      </c>
    </row>
    <row r="168" spans="1:25" hidden="1" x14ac:dyDescent="0.25">
      <c r="A168" t="str">
        <f t="shared" si="2"/>
        <v>2022_SA_Riverton_Fababean_DetailedTOSTOS1VarietySamiraWaterTrtRainFed</v>
      </c>
      <c r="B168">
        <v>2022004</v>
      </c>
      <c r="C168" t="s">
        <v>41</v>
      </c>
      <c r="D168">
        <v>2</v>
      </c>
      <c r="E168" t="s">
        <v>25</v>
      </c>
      <c r="F168" t="s">
        <v>129</v>
      </c>
      <c r="G168" t="s">
        <v>30</v>
      </c>
      <c r="I168">
        <v>1</v>
      </c>
      <c r="J168" t="s">
        <v>42</v>
      </c>
      <c r="K168" s="1">
        <v>44792</v>
      </c>
      <c r="L168">
        <v>42.449999447643698</v>
      </c>
      <c r="M168">
        <v>4.5863093024941</v>
      </c>
    </row>
    <row r="169" spans="1:25" hidden="1" x14ac:dyDescent="0.25">
      <c r="A169" t="str">
        <f t="shared" si="2"/>
        <v>2022_SA_Riverton_Fababean_DetailedTOSTOS2VarietySamiraWaterTrtRainFed</v>
      </c>
      <c r="B169">
        <v>2022004</v>
      </c>
      <c r="C169" t="s">
        <v>41</v>
      </c>
      <c r="D169">
        <v>2</v>
      </c>
      <c r="E169" t="s">
        <v>25</v>
      </c>
      <c r="F169" t="s">
        <v>129</v>
      </c>
      <c r="G169" t="s">
        <v>30</v>
      </c>
      <c r="I169">
        <v>2</v>
      </c>
      <c r="J169" t="s">
        <v>43</v>
      </c>
      <c r="K169" s="1">
        <v>44816</v>
      </c>
      <c r="L169">
        <v>44.276250552353702</v>
      </c>
      <c r="M169">
        <v>4.5863093024941</v>
      </c>
    </row>
    <row r="170" spans="1:25" hidden="1" x14ac:dyDescent="0.25">
      <c r="A170" t="str">
        <f t="shared" si="2"/>
        <v>2022_SA_Riverton_Fababean_DetailedTOSTOS1VarietyAmberleyWaterTrtRainFed</v>
      </c>
      <c r="B170">
        <v>2022004</v>
      </c>
      <c r="C170" t="s">
        <v>41</v>
      </c>
      <c r="D170">
        <v>3</v>
      </c>
      <c r="E170" t="s">
        <v>31</v>
      </c>
      <c r="F170" t="s">
        <v>126</v>
      </c>
      <c r="G170" t="s">
        <v>30</v>
      </c>
      <c r="I170">
        <v>1</v>
      </c>
      <c r="J170" t="s">
        <v>42</v>
      </c>
      <c r="K170" s="1">
        <v>44816</v>
      </c>
      <c r="L170">
        <v>184.75349736507201</v>
      </c>
      <c r="M170">
        <v>11.7437635211465</v>
      </c>
    </row>
    <row r="171" spans="1:25" hidden="1" x14ac:dyDescent="0.25">
      <c r="A171" t="str">
        <f t="shared" si="2"/>
        <v>2022_SA_Riverton_Fababean_DetailedTOSTOS2VarietyAmberleyWaterTrtRainFed</v>
      </c>
      <c r="B171">
        <v>2022004</v>
      </c>
      <c r="C171" t="s">
        <v>41</v>
      </c>
      <c r="D171">
        <v>3</v>
      </c>
      <c r="E171" t="s">
        <v>31</v>
      </c>
      <c r="F171" t="s">
        <v>126</v>
      </c>
      <c r="G171" t="s">
        <v>30</v>
      </c>
      <c r="I171">
        <v>2</v>
      </c>
      <c r="J171" t="s">
        <v>43</v>
      </c>
      <c r="K171" s="1">
        <v>44823</v>
      </c>
      <c r="L171">
        <v>104.36750000000001</v>
      </c>
      <c r="M171">
        <v>11.070658550261699</v>
      </c>
    </row>
    <row r="172" spans="1:25" hidden="1" x14ac:dyDescent="0.25">
      <c r="A172" t="str">
        <f t="shared" si="2"/>
        <v>2022_SA_Riverton_Fababean_DetailedTOSTOS1VarietyMarneWaterTrtRainFed</v>
      </c>
      <c r="B172">
        <v>2022004</v>
      </c>
      <c r="C172" t="s">
        <v>41</v>
      </c>
      <c r="D172">
        <v>3</v>
      </c>
      <c r="E172" t="s">
        <v>31</v>
      </c>
      <c r="F172" t="s">
        <v>127</v>
      </c>
      <c r="G172" t="s">
        <v>30</v>
      </c>
      <c r="I172">
        <v>1</v>
      </c>
      <c r="J172" t="s">
        <v>42</v>
      </c>
      <c r="K172" s="1">
        <v>44816</v>
      </c>
      <c r="L172">
        <v>124.55500000000001</v>
      </c>
      <c r="M172">
        <v>11.070658550261699</v>
      </c>
    </row>
    <row r="173" spans="1:25" hidden="1" x14ac:dyDescent="0.25">
      <c r="A173" t="str">
        <f t="shared" si="2"/>
        <v>2022_SA_Riverton_Fababean_DetailedTOSTOS2VarietyMarneWaterTrtRainFed</v>
      </c>
      <c r="B173">
        <v>2022004</v>
      </c>
      <c r="C173" t="s">
        <v>41</v>
      </c>
      <c r="D173">
        <v>3</v>
      </c>
      <c r="E173" t="s">
        <v>31</v>
      </c>
      <c r="F173" t="s">
        <v>127</v>
      </c>
      <c r="G173" t="s">
        <v>30</v>
      </c>
      <c r="I173">
        <v>2</v>
      </c>
      <c r="J173" t="s">
        <v>43</v>
      </c>
      <c r="K173" s="1">
        <v>44823</v>
      </c>
      <c r="L173">
        <v>104.52875</v>
      </c>
      <c r="M173">
        <v>11.070658550261699</v>
      </c>
    </row>
    <row r="174" spans="1:25" hidden="1" x14ac:dyDescent="0.25">
      <c r="A174" t="str">
        <f t="shared" si="2"/>
        <v>2022_SA_Riverton_Fababean_DetailedTOSTOS1VarietyNasmaWaterTrtRainFed</v>
      </c>
      <c r="B174">
        <v>2022004</v>
      </c>
      <c r="C174" t="s">
        <v>41</v>
      </c>
      <c r="D174">
        <v>3</v>
      </c>
      <c r="E174" t="s">
        <v>31</v>
      </c>
      <c r="F174" t="s">
        <v>128</v>
      </c>
      <c r="G174" t="s">
        <v>30</v>
      </c>
      <c r="I174">
        <v>1</v>
      </c>
      <c r="J174" t="s">
        <v>42</v>
      </c>
      <c r="K174" s="1">
        <v>44816</v>
      </c>
      <c r="L174">
        <v>174.94499186538599</v>
      </c>
      <c r="M174">
        <v>11.0706589477869</v>
      </c>
    </row>
    <row r="175" spans="1:25" hidden="1" x14ac:dyDescent="0.25">
      <c r="A175" t="str">
        <f t="shared" si="2"/>
        <v>2022_SA_Riverton_Fababean_DetailedTOSTOS2VarietyNasmaWaterTrtRainFed</v>
      </c>
      <c r="B175">
        <v>2022004</v>
      </c>
      <c r="C175" t="s">
        <v>41</v>
      </c>
      <c r="D175">
        <v>3</v>
      </c>
      <c r="E175" t="s">
        <v>31</v>
      </c>
      <c r="F175" t="s">
        <v>128</v>
      </c>
      <c r="G175" t="s">
        <v>30</v>
      </c>
      <c r="I175">
        <v>2</v>
      </c>
      <c r="J175" t="s">
        <v>43</v>
      </c>
      <c r="K175" s="1">
        <v>44823</v>
      </c>
      <c r="L175">
        <v>90.830008134614204</v>
      </c>
      <c r="M175">
        <v>11.070658947787001</v>
      </c>
    </row>
    <row r="176" spans="1:25" hidden="1" x14ac:dyDescent="0.25">
      <c r="A176" t="str">
        <f t="shared" si="2"/>
        <v>2022_SA_Riverton_Fababean_DetailedTOSTOS1VarietySamiraWaterTrtRainFed</v>
      </c>
      <c r="B176">
        <v>2022004</v>
      </c>
      <c r="C176" t="s">
        <v>41</v>
      </c>
      <c r="D176">
        <v>3</v>
      </c>
      <c r="E176" t="s">
        <v>31</v>
      </c>
      <c r="F176" t="s">
        <v>129</v>
      </c>
      <c r="G176" t="s">
        <v>30</v>
      </c>
      <c r="I176">
        <v>1</v>
      </c>
      <c r="J176" t="s">
        <v>42</v>
      </c>
      <c r="K176" s="1">
        <v>44816</v>
      </c>
      <c r="L176">
        <v>140.27250813461399</v>
      </c>
      <c r="M176">
        <v>11.0706589477869</v>
      </c>
    </row>
    <row r="177" spans="1:13" hidden="1" x14ac:dyDescent="0.25">
      <c r="A177" t="str">
        <f t="shared" si="2"/>
        <v>2022_SA_Riverton_Fababean_DetailedTOSTOS2VarietySamiraWaterTrtRainFed</v>
      </c>
      <c r="B177">
        <v>2022004</v>
      </c>
      <c r="C177" t="s">
        <v>41</v>
      </c>
      <c r="D177">
        <v>3</v>
      </c>
      <c r="E177" t="s">
        <v>31</v>
      </c>
      <c r="F177" t="s">
        <v>129</v>
      </c>
      <c r="G177" t="s">
        <v>30</v>
      </c>
      <c r="I177">
        <v>2</v>
      </c>
      <c r="J177" t="s">
        <v>43</v>
      </c>
      <c r="K177" s="1">
        <v>44823</v>
      </c>
      <c r="L177">
        <v>89.389991865385497</v>
      </c>
      <c r="M177">
        <v>11.070658947787001</v>
      </c>
    </row>
    <row r="178" spans="1:13" hidden="1" x14ac:dyDescent="0.25">
      <c r="A178" t="str">
        <f t="shared" si="2"/>
        <v>2022_SA_Riverton_Fababean_DetailedTOSTOS1VarietyAmberleyWaterTrtRainFed</v>
      </c>
      <c r="B178">
        <v>2022004</v>
      </c>
      <c r="C178" t="s">
        <v>41</v>
      </c>
      <c r="D178">
        <v>4</v>
      </c>
      <c r="E178" t="s">
        <v>32</v>
      </c>
      <c r="F178" t="s">
        <v>126</v>
      </c>
      <c r="G178" t="s">
        <v>30</v>
      </c>
      <c r="I178">
        <v>1</v>
      </c>
      <c r="J178" t="s">
        <v>42</v>
      </c>
      <c r="K178" s="1">
        <v>44823</v>
      </c>
      <c r="L178">
        <v>338.05375000000299</v>
      </c>
      <c r="M178">
        <v>25.214217530639001</v>
      </c>
    </row>
    <row r="179" spans="1:13" hidden="1" x14ac:dyDescent="0.25">
      <c r="A179" t="str">
        <f t="shared" si="2"/>
        <v>2022_SA_Riverton_Fababean_DetailedTOSTOS2VarietyAmberleyWaterTrtRainFed</v>
      </c>
      <c r="B179">
        <v>2022004</v>
      </c>
      <c r="C179" t="s">
        <v>41</v>
      </c>
      <c r="D179">
        <v>4</v>
      </c>
      <c r="E179" t="s">
        <v>32</v>
      </c>
      <c r="F179" t="s">
        <v>126</v>
      </c>
      <c r="G179" t="s">
        <v>30</v>
      </c>
      <c r="I179">
        <v>2</v>
      </c>
      <c r="J179" t="s">
        <v>43</v>
      </c>
      <c r="K179" s="1">
        <v>44839</v>
      </c>
      <c r="L179">
        <v>93.9837500000029</v>
      </c>
      <c r="M179">
        <v>25.214217530639001</v>
      </c>
    </row>
    <row r="180" spans="1:13" hidden="1" x14ac:dyDescent="0.25">
      <c r="A180" t="str">
        <f t="shared" si="2"/>
        <v>2022_SA_Riverton_Fababean_DetailedTOSTOS1VarietyMarneWaterTrtRainFed</v>
      </c>
      <c r="B180">
        <v>2022004</v>
      </c>
      <c r="C180" t="s">
        <v>41</v>
      </c>
      <c r="D180">
        <v>4</v>
      </c>
      <c r="E180" t="s">
        <v>32</v>
      </c>
      <c r="F180" t="s">
        <v>127</v>
      </c>
      <c r="G180" t="s">
        <v>30</v>
      </c>
      <c r="I180">
        <v>1</v>
      </c>
      <c r="J180" t="s">
        <v>42</v>
      </c>
      <c r="K180" s="1">
        <v>44823</v>
      </c>
      <c r="L180">
        <v>270.15250000000299</v>
      </c>
      <c r="M180">
        <v>25.214217530638901</v>
      </c>
    </row>
    <row r="181" spans="1:13" hidden="1" x14ac:dyDescent="0.25">
      <c r="A181" t="str">
        <f t="shared" si="2"/>
        <v>2022_SA_Riverton_Fababean_DetailedTOSTOS2VarietyMarneWaterTrtRainFed</v>
      </c>
      <c r="B181">
        <v>2022004</v>
      </c>
      <c r="C181" t="s">
        <v>41</v>
      </c>
      <c r="D181">
        <v>4</v>
      </c>
      <c r="E181" t="s">
        <v>32</v>
      </c>
      <c r="F181" t="s">
        <v>127</v>
      </c>
      <c r="G181" t="s">
        <v>30</v>
      </c>
      <c r="I181">
        <v>2</v>
      </c>
      <c r="J181" t="s">
        <v>43</v>
      </c>
      <c r="K181" s="1">
        <v>44839</v>
      </c>
      <c r="L181">
        <v>87.510000000002705</v>
      </c>
      <c r="M181">
        <v>25.214217530638901</v>
      </c>
    </row>
    <row r="182" spans="1:13" hidden="1" x14ac:dyDescent="0.25">
      <c r="A182" t="str">
        <f t="shared" si="2"/>
        <v>2022_SA_Riverton_Fababean_DetailedTOSTOS1VarietyNasmaWaterTrtRainFed</v>
      </c>
      <c r="B182">
        <v>2022004</v>
      </c>
      <c r="C182" t="s">
        <v>41</v>
      </c>
      <c r="D182">
        <v>4</v>
      </c>
      <c r="E182" t="s">
        <v>32</v>
      </c>
      <c r="F182" t="s">
        <v>128</v>
      </c>
      <c r="G182" t="s">
        <v>30</v>
      </c>
      <c r="I182">
        <v>1</v>
      </c>
      <c r="J182" t="s">
        <v>42</v>
      </c>
      <c r="K182" s="1">
        <v>44823</v>
      </c>
      <c r="L182">
        <v>302.47764998856098</v>
      </c>
      <c r="M182">
        <v>25.240960808671701</v>
      </c>
    </row>
    <row r="183" spans="1:13" hidden="1" x14ac:dyDescent="0.25">
      <c r="A183" t="str">
        <f t="shared" si="2"/>
        <v>2022_SA_Riverton_Fababean_DetailedTOSTOS2VarietyNasmaWaterTrtRainFed</v>
      </c>
      <c r="B183">
        <v>2022004</v>
      </c>
      <c r="C183" t="s">
        <v>41</v>
      </c>
      <c r="D183">
        <v>4</v>
      </c>
      <c r="E183" t="s">
        <v>32</v>
      </c>
      <c r="F183" t="s">
        <v>128</v>
      </c>
      <c r="G183" t="s">
        <v>30</v>
      </c>
      <c r="I183">
        <v>2</v>
      </c>
      <c r="J183" t="s">
        <v>43</v>
      </c>
      <c r="K183" s="1">
        <v>44839</v>
      </c>
      <c r="L183">
        <v>149.33985001144501</v>
      </c>
      <c r="M183">
        <v>25.240960808671701</v>
      </c>
    </row>
    <row r="184" spans="1:13" hidden="1" x14ac:dyDescent="0.25">
      <c r="A184" t="str">
        <f t="shared" si="2"/>
        <v>2022_SA_Riverton_Fababean_DetailedTOSTOS1VarietySamiraWaterTrtRainFed</v>
      </c>
      <c r="B184">
        <v>2022004</v>
      </c>
      <c r="C184" t="s">
        <v>41</v>
      </c>
      <c r="D184">
        <v>4</v>
      </c>
      <c r="E184" t="s">
        <v>32</v>
      </c>
      <c r="F184" t="s">
        <v>129</v>
      </c>
      <c r="G184" t="s">
        <v>30</v>
      </c>
      <c r="I184">
        <v>1</v>
      </c>
      <c r="J184" t="s">
        <v>42</v>
      </c>
      <c r="K184" s="1">
        <v>44823</v>
      </c>
      <c r="L184">
        <v>259.56110001144498</v>
      </c>
      <c r="M184">
        <v>25.240960808671701</v>
      </c>
    </row>
    <row r="185" spans="1:13" hidden="1" x14ac:dyDescent="0.25">
      <c r="A185" t="str">
        <f t="shared" si="2"/>
        <v>2022_SA_Riverton_Fababean_DetailedTOSTOS2VarietySamiraWaterTrtRainFed</v>
      </c>
      <c r="B185">
        <v>2022004</v>
      </c>
      <c r="C185" t="s">
        <v>41</v>
      </c>
      <c r="D185">
        <v>4</v>
      </c>
      <c r="E185" t="s">
        <v>32</v>
      </c>
      <c r="F185" t="s">
        <v>129</v>
      </c>
      <c r="G185" t="s">
        <v>30</v>
      </c>
      <c r="I185">
        <v>2</v>
      </c>
      <c r="J185" t="s">
        <v>43</v>
      </c>
      <c r="K185" s="1">
        <v>44839</v>
      </c>
      <c r="L185">
        <v>113.79639998856101</v>
      </c>
      <c r="M185">
        <v>25.240960808671701</v>
      </c>
    </row>
    <row r="186" spans="1:13" hidden="1" x14ac:dyDescent="0.25">
      <c r="A186" t="str">
        <f t="shared" si="2"/>
        <v>2022_SA_Riverton_Fababean_DetailedTOSTOS1VarietyAmberleyWaterTrtRainFed</v>
      </c>
      <c r="B186">
        <v>2022004</v>
      </c>
      <c r="C186" t="s">
        <v>41</v>
      </c>
      <c r="D186">
        <v>5</v>
      </c>
      <c r="E186" t="s">
        <v>33</v>
      </c>
      <c r="F186" t="s">
        <v>126</v>
      </c>
      <c r="G186" t="s">
        <v>30</v>
      </c>
      <c r="I186">
        <v>1</v>
      </c>
      <c r="J186" t="s">
        <v>42</v>
      </c>
      <c r="K186" s="1">
        <v>44867</v>
      </c>
      <c r="L186">
        <v>1254.9537500000099</v>
      </c>
      <c r="M186">
        <v>114.66095935974199</v>
      </c>
    </row>
    <row r="187" spans="1:13" hidden="1" x14ac:dyDescent="0.25">
      <c r="A187" t="str">
        <f t="shared" si="2"/>
        <v>2022_SA_Riverton_Fababean_DetailedTOSTOS2VarietyAmberleyWaterTrtRainFed</v>
      </c>
      <c r="B187">
        <v>2022004</v>
      </c>
      <c r="C187" t="s">
        <v>41</v>
      </c>
      <c r="D187">
        <v>5</v>
      </c>
      <c r="E187" t="s">
        <v>33</v>
      </c>
      <c r="F187" t="s">
        <v>126</v>
      </c>
      <c r="G187" t="s">
        <v>30</v>
      </c>
      <c r="I187">
        <v>2</v>
      </c>
      <c r="J187" t="s">
        <v>43</v>
      </c>
      <c r="K187" s="1">
        <v>44872</v>
      </c>
      <c r="L187">
        <v>1373.1312499999999</v>
      </c>
      <c r="M187">
        <v>114.660959359741</v>
      </c>
    </row>
    <row r="188" spans="1:13" hidden="1" x14ac:dyDescent="0.25">
      <c r="A188" t="str">
        <f t="shared" si="2"/>
        <v>2022_SA_Riverton_Fababean_DetailedTOSTOS1VarietyMarneWaterTrtRainFed</v>
      </c>
      <c r="B188">
        <v>2022004</v>
      </c>
      <c r="C188" t="s">
        <v>41</v>
      </c>
      <c r="D188">
        <v>5</v>
      </c>
      <c r="E188" t="s">
        <v>33</v>
      </c>
      <c r="F188" t="s">
        <v>127</v>
      </c>
      <c r="G188" t="s">
        <v>30</v>
      </c>
      <c r="I188">
        <v>1</v>
      </c>
      <c r="J188" t="s">
        <v>42</v>
      </c>
      <c r="K188" s="1">
        <v>44867</v>
      </c>
      <c r="L188">
        <v>1279.1937500000099</v>
      </c>
      <c r="M188">
        <v>114.66095935974199</v>
      </c>
    </row>
    <row r="189" spans="1:13" hidden="1" x14ac:dyDescent="0.25">
      <c r="A189" t="str">
        <f t="shared" si="2"/>
        <v>2022_SA_Riverton_Fababean_DetailedTOSTOS2VarietyMarneWaterTrtRainFed</v>
      </c>
      <c r="B189">
        <v>2022004</v>
      </c>
      <c r="C189" t="s">
        <v>41</v>
      </c>
      <c r="D189">
        <v>5</v>
      </c>
      <c r="E189" t="s">
        <v>33</v>
      </c>
      <c r="F189" t="s">
        <v>127</v>
      </c>
      <c r="G189" t="s">
        <v>30</v>
      </c>
      <c r="I189">
        <v>2</v>
      </c>
      <c r="J189" t="s">
        <v>43</v>
      </c>
      <c r="K189" s="1">
        <v>44872</v>
      </c>
      <c r="L189">
        <v>1280.7175</v>
      </c>
      <c r="M189">
        <v>114.660959359741</v>
      </c>
    </row>
    <row r="190" spans="1:13" hidden="1" x14ac:dyDescent="0.25">
      <c r="A190" t="str">
        <f t="shared" si="2"/>
        <v>2022_SA_Riverton_Fababean_DetailedTOSTOS1VarietyNasmaWaterTrtRainFed</v>
      </c>
      <c r="B190">
        <v>2022004</v>
      </c>
      <c r="C190" t="s">
        <v>41</v>
      </c>
      <c r="D190">
        <v>5</v>
      </c>
      <c r="E190" t="s">
        <v>33</v>
      </c>
      <c r="F190" t="s">
        <v>128</v>
      </c>
      <c r="G190" t="s">
        <v>30</v>
      </c>
      <c r="I190">
        <v>1</v>
      </c>
      <c r="J190" t="s">
        <v>42</v>
      </c>
      <c r="K190" s="1">
        <v>44867</v>
      </c>
      <c r="L190">
        <v>1701.87557138741</v>
      </c>
      <c r="M190">
        <v>114.84151311821201</v>
      </c>
    </row>
    <row r="191" spans="1:13" hidden="1" x14ac:dyDescent="0.25">
      <c r="A191" t="str">
        <f t="shared" si="2"/>
        <v>2022_SA_Riverton_Fababean_DetailedTOSTOS2VarietyNasmaWaterTrtRainFed</v>
      </c>
      <c r="B191">
        <v>2022004</v>
      </c>
      <c r="C191" t="s">
        <v>41</v>
      </c>
      <c r="D191">
        <v>5</v>
      </c>
      <c r="E191" t="s">
        <v>33</v>
      </c>
      <c r="F191" t="s">
        <v>128</v>
      </c>
      <c r="G191" t="s">
        <v>30</v>
      </c>
      <c r="I191">
        <v>2</v>
      </c>
      <c r="J191" t="s">
        <v>43</v>
      </c>
      <c r="K191" s="1">
        <v>44872</v>
      </c>
      <c r="L191">
        <v>1698.0781786125999</v>
      </c>
      <c r="M191">
        <v>114.84151311821201</v>
      </c>
    </row>
    <row r="192" spans="1:13" hidden="1" x14ac:dyDescent="0.25">
      <c r="A192" t="str">
        <f t="shared" si="2"/>
        <v>2022_SA_Riverton_Fababean_DetailedTOSTOS1VarietySamiraWaterTrtRainFed</v>
      </c>
      <c r="B192">
        <v>2022004</v>
      </c>
      <c r="C192" t="s">
        <v>41</v>
      </c>
      <c r="D192">
        <v>5</v>
      </c>
      <c r="E192" t="s">
        <v>33</v>
      </c>
      <c r="F192" t="s">
        <v>129</v>
      </c>
      <c r="G192" t="s">
        <v>30</v>
      </c>
      <c r="I192">
        <v>1</v>
      </c>
      <c r="J192" t="s">
        <v>42</v>
      </c>
      <c r="K192" s="1">
        <v>44867</v>
      </c>
      <c r="L192">
        <v>1685.8181786126099</v>
      </c>
      <c r="M192">
        <v>114.84151311821201</v>
      </c>
    </row>
    <row r="193" spans="1:25" hidden="1" x14ac:dyDescent="0.25">
      <c r="A193" t="str">
        <f t="shared" si="2"/>
        <v>2022_SA_Riverton_Fababean_DetailedTOSTOS2VarietySamiraWaterTrtRainFed</v>
      </c>
      <c r="B193">
        <v>2022004</v>
      </c>
      <c r="C193" t="s">
        <v>41</v>
      </c>
      <c r="D193">
        <v>5</v>
      </c>
      <c r="E193" t="s">
        <v>33</v>
      </c>
      <c r="F193" t="s">
        <v>129</v>
      </c>
      <c r="G193" t="s">
        <v>30</v>
      </c>
      <c r="I193">
        <v>2</v>
      </c>
      <c r="J193" t="s">
        <v>43</v>
      </c>
      <c r="K193" s="1">
        <v>44872</v>
      </c>
      <c r="L193">
        <v>1540.1343213874</v>
      </c>
      <c r="M193">
        <v>114.84151311821201</v>
      </c>
    </row>
    <row r="194" spans="1:25" hidden="1" x14ac:dyDescent="0.25">
      <c r="A194" t="str">
        <f t="shared" si="2"/>
        <v>2022_SA_Riverton_Fababean_DetailedTOSTOS1VarietyAmberleyWaterTrtRainFed</v>
      </c>
      <c r="B194">
        <v>2022004</v>
      </c>
      <c r="C194" t="s">
        <v>41</v>
      </c>
      <c r="D194">
        <v>6</v>
      </c>
      <c r="E194" t="s">
        <v>34</v>
      </c>
      <c r="F194" t="s">
        <v>126</v>
      </c>
      <c r="G194" t="s">
        <v>30</v>
      </c>
      <c r="I194">
        <v>1</v>
      </c>
      <c r="J194" t="s">
        <v>42</v>
      </c>
      <c r="K194" s="1">
        <v>44901</v>
      </c>
      <c r="L194">
        <v>3462.5099999999902</v>
      </c>
      <c r="M194">
        <v>238.36186348208199</v>
      </c>
      <c r="N194">
        <v>0.35899999999999999</v>
      </c>
      <c r="O194">
        <v>1.9E-2</v>
      </c>
      <c r="P194">
        <v>1534</v>
      </c>
      <c r="Q194">
        <v>170</v>
      </c>
      <c r="T194">
        <v>2330</v>
      </c>
      <c r="U194">
        <v>190</v>
      </c>
      <c r="X194">
        <v>1212</v>
      </c>
      <c r="Y194">
        <v>86</v>
      </c>
    </row>
    <row r="195" spans="1:25" hidden="1" x14ac:dyDescent="0.25">
      <c r="A195" t="str">
        <f t="shared" ref="A195:A258" si="3">C195&amp;"TOSTOS"&amp;I195&amp;"Variety"&amp;F195&amp;"WaterTrt"&amp;G195&amp;IF(H195="","","Agronomy"&amp;H195)</f>
        <v>2022_SA_Riverton_Fababean_DetailedTOSTOS2VarietyAmberleyWaterTrtRainFed</v>
      </c>
      <c r="B195">
        <v>2022004</v>
      </c>
      <c r="C195" t="s">
        <v>41</v>
      </c>
      <c r="D195">
        <v>6</v>
      </c>
      <c r="E195" t="s">
        <v>34</v>
      </c>
      <c r="F195" t="s">
        <v>126</v>
      </c>
      <c r="G195" t="s">
        <v>30</v>
      </c>
      <c r="I195">
        <v>2</v>
      </c>
      <c r="J195" t="s">
        <v>43</v>
      </c>
      <c r="K195" s="1">
        <v>44908</v>
      </c>
      <c r="L195">
        <v>2654.1424999999999</v>
      </c>
      <c r="M195">
        <v>238.36186348208301</v>
      </c>
      <c r="N195">
        <v>0.45700000000000002</v>
      </c>
      <c r="O195">
        <v>1.9E-2</v>
      </c>
      <c r="P195">
        <v>1155</v>
      </c>
      <c r="Q195">
        <v>87</v>
      </c>
      <c r="T195">
        <v>1965</v>
      </c>
      <c r="U195">
        <v>120</v>
      </c>
      <c r="X195">
        <v>1215</v>
      </c>
      <c r="Y195">
        <v>86</v>
      </c>
    </row>
    <row r="196" spans="1:25" hidden="1" x14ac:dyDescent="0.25">
      <c r="A196" t="str">
        <f t="shared" si="3"/>
        <v>2022_SA_Riverton_Fababean_DetailedTOSTOS1VarietyMarneWaterTrtRainFed</v>
      </c>
      <c r="B196">
        <v>2022004</v>
      </c>
      <c r="C196" t="s">
        <v>41</v>
      </c>
      <c r="D196">
        <v>6</v>
      </c>
      <c r="E196" t="s">
        <v>34</v>
      </c>
      <c r="F196" t="s">
        <v>127</v>
      </c>
      <c r="G196" t="s">
        <v>30</v>
      </c>
      <c r="I196">
        <v>1</v>
      </c>
      <c r="J196" t="s">
        <v>42</v>
      </c>
      <c r="K196" s="1">
        <v>44901</v>
      </c>
      <c r="L196">
        <v>3212.6687500000098</v>
      </c>
      <c r="M196">
        <v>238.36186348208301</v>
      </c>
      <c r="N196">
        <v>0.38600000000000001</v>
      </c>
      <c r="O196">
        <v>1.9E-2</v>
      </c>
      <c r="P196">
        <v>1198</v>
      </c>
      <c r="Q196">
        <v>180</v>
      </c>
      <c r="T196">
        <v>2139</v>
      </c>
      <c r="U196">
        <v>200</v>
      </c>
      <c r="X196">
        <v>1163</v>
      </c>
      <c r="Y196">
        <v>86</v>
      </c>
    </row>
    <row r="197" spans="1:25" hidden="1" x14ac:dyDescent="0.25">
      <c r="A197" t="str">
        <f t="shared" si="3"/>
        <v>2022_SA_Riverton_Fababean_DetailedTOSTOS2VarietyMarneWaterTrtRainFed</v>
      </c>
      <c r="B197">
        <v>2022004</v>
      </c>
      <c r="C197" t="s">
        <v>41</v>
      </c>
      <c r="D197">
        <v>6</v>
      </c>
      <c r="E197" t="s">
        <v>34</v>
      </c>
      <c r="F197" t="s">
        <v>127</v>
      </c>
      <c r="G197" t="s">
        <v>30</v>
      </c>
      <c r="I197">
        <v>2</v>
      </c>
      <c r="J197" t="s">
        <v>43</v>
      </c>
      <c r="K197" s="1">
        <v>44908</v>
      </c>
      <c r="L197">
        <v>2851.6412500000001</v>
      </c>
      <c r="M197">
        <v>238.36186348208301</v>
      </c>
      <c r="N197">
        <v>0.52300000000000002</v>
      </c>
      <c r="O197">
        <v>2.1000000000000001E-2</v>
      </c>
      <c r="P197">
        <v>1294</v>
      </c>
      <c r="Q197">
        <v>87</v>
      </c>
      <c r="T197">
        <v>2350</v>
      </c>
      <c r="U197">
        <v>120</v>
      </c>
      <c r="X197">
        <v>1400</v>
      </c>
      <c r="Y197">
        <v>86</v>
      </c>
    </row>
    <row r="198" spans="1:25" hidden="1" x14ac:dyDescent="0.25">
      <c r="A198" t="str">
        <f t="shared" si="3"/>
        <v>2022_SA_Riverton_Fababean_DetailedTOSTOS1VarietyNasmaWaterTrtRainFed</v>
      </c>
      <c r="B198">
        <v>2022004</v>
      </c>
      <c r="C198" t="s">
        <v>41</v>
      </c>
      <c r="D198">
        <v>6</v>
      </c>
      <c r="E198" t="s">
        <v>34</v>
      </c>
      <c r="F198" t="s">
        <v>128</v>
      </c>
      <c r="G198" t="s">
        <v>30</v>
      </c>
      <c r="I198">
        <v>1</v>
      </c>
      <c r="J198" t="s">
        <v>42</v>
      </c>
      <c r="K198" s="1">
        <v>44901</v>
      </c>
      <c r="L198">
        <v>3182.1674489701199</v>
      </c>
      <c r="M198">
        <v>238.36186809785099</v>
      </c>
      <c r="N198">
        <v>0.29599999999999999</v>
      </c>
      <c r="O198">
        <v>1.9E-2</v>
      </c>
      <c r="P198">
        <v>969</v>
      </c>
      <c r="Q198">
        <v>180</v>
      </c>
      <c r="T198">
        <v>1879</v>
      </c>
      <c r="U198">
        <v>190</v>
      </c>
      <c r="X198">
        <v>913</v>
      </c>
      <c r="Y198">
        <v>86</v>
      </c>
    </row>
    <row r="199" spans="1:25" hidden="1" x14ac:dyDescent="0.25">
      <c r="A199" t="str">
        <f t="shared" si="3"/>
        <v>2022_SA_Riverton_Fababean_DetailedTOSTOS2VarietyNasmaWaterTrtRainFed</v>
      </c>
      <c r="B199">
        <v>2022004</v>
      </c>
      <c r="C199" t="s">
        <v>41</v>
      </c>
      <c r="D199">
        <v>6</v>
      </c>
      <c r="E199" t="s">
        <v>34</v>
      </c>
      <c r="F199" t="s">
        <v>128</v>
      </c>
      <c r="G199" t="s">
        <v>30</v>
      </c>
      <c r="I199">
        <v>2</v>
      </c>
      <c r="J199" t="s">
        <v>43</v>
      </c>
      <c r="K199" s="1">
        <v>44908</v>
      </c>
      <c r="L199">
        <v>2866.0738010298901</v>
      </c>
      <c r="M199">
        <v>238.36186809785099</v>
      </c>
      <c r="N199">
        <v>0.439</v>
      </c>
      <c r="O199">
        <v>1.9E-2</v>
      </c>
      <c r="P199">
        <v>892</v>
      </c>
      <c r="Q199">
        <v>87</v>
      </c>
      <c r="T199">
        <v>1840</v>
      </c>
      <c r="U199">
        <v>120</v>
      </c>
      <c r="X199">
        <v>1258</v>
      </c>
      <c r="Y199">
        <v>86</v>
      </c>
    </row>
    <row r="200" spans="1:25" hidden="1" x14ac:dyDescent="0.25">
      <c r="A200" t="str">
        <f t="shared" si="3"/>
        <v>2022_SA_Riverton_Fababean_DetailedTOSTOS1VarietySamiraWaterTrtRainFed</v>
      </c>
      <c r="B200">
        <v>2022004</v>
      </c>
      <c r="C200" t="s">
        <v>41</v>
      </c>
      <c r="D200">
        <v>6</v>
      </c>
      <c r="E200" t="s">
        <v>34</v>
      </c>
      <c r="F200" t="s">
        <v>129</v>
      </c>
      <c r="G200" t="s">
        <v>30</v>
      </c>
      <c r="I200">
        <v>1</v>
      </c>
      <c r="J200" t="s">
        <v>42</v>
      </c>
      <c r="K200" s="1">
        <v>44901</v>
      </c>
      <c r="L200">
        <v>2883.2838010299001</v>
      </c>
      <c r="M200">
        <v>238.36186809785099</v>
      </c>
      <c r="N200">
        <v>0.39500000000000002</v>
      </c>
      <c r="O200">
        <v>1.9E-2</v>
      </c>
      <c r="P200">
        <v>865</v>
      </c>
      <c r="Q200">
        <v>170</v>
      </c>
      <c r="T200">
        <v>1924</v>
      </c>
      <c r="U200">
        <v>190</v>
      </c>
      <c r="X200">
        <v>1125</v>
      </c>
      <c r="Y200">
        <v>86</v>
      </c>
    </row>
    <row r="201" spans="1:25" hidden="1" x14ac:dyDescent="0.25">
      <c r="A201" t="str">
        <f t="shared" si="3"/>
        <v>2022_SA_Riverton_Fababean_DetailedTOSTOS2VarietySamiraWaterTrtRainFed</v>
      </c>
      <c r="B201">
        <v>2022004</v>
      </c>
      <c r="C201" t="s">
        <v>41</v>
      </c>
      <c r="D201">
        <v>6</v>
      </c>
      <c r="E201" t="s">
        <v>34</v>
      </c>
      <c r="F201" t="s">
        <v>129</v>
      </c>
      <c r="G201" t="s">
        <v>30</v>
      </c>
      <c r="I201">
        <v>2</v>
      </c>
      <c r="J201" t="s">
        <v>43</v>
      </c>
      <c r="K201" s="1">
        <v>44908</v>
      </c>
      <c r="L201">
        <v>2482.5036989701098</v>
      </c>
      <c r="M201">
        <v>238.36186809785099</v>
      </c>
      <c r="N201">
        <v>0.496</v>
      </c>
      <c r="O201">
        <v>1.9E-2</v>
      </c>
      <c r="P201">
        <v>821</v>
      </c>
      <c r="Q201">
        <v>87</v>
      </c>
      <c r="T201">
        <v>1908</v>
      </c>
      <c r="U201">
        <v>120</v>
      </c>
      <c r="X201">
        <v>1232</v>
      </c>
      <c r="Y201">
        <v>86</v>
      </c>
    </row>
    <row r="202" spans="1:25" x14ac:dyDescent="0.25">
      <c r="A202" t="str">
        <f t="shared" si="3"/>
        <v>2022_Vic_Kalkee_Lentil_DetailedTOSTOS1VarietyBoltWaterTrtRainFed</v>
      </c>
      <c r="B202">
        <v>2022005</v>
      </c>
      <c r="C202" t="s">
        <v>44</v>
      </c>
      <c r="D202">
        <v>2</v>
      </c>
      <c r="E202" t="s">
        <v>25</v>
      </c>
      <c r="F202" t="s">
        <v>130</v>
      </c>
      <c r="G202" t="s">
        <v>30</v>
      </c>
      <c r="I202">
        <v>1</v>
      </c>
      <c r="J202" t="s">
        <v>36</v>
      </c>
      <c r="K202" s="1">
        <v>44755</v>
      </c>
      <c r="L202">
        <v>10.4187500000006</v>
      </c>
      <c r="M202">
        <v>0.65100276294950299</v>
      </c>
    </row>
    <row r="203" spans="1:25" x14ac:dyDescent="0.25">
      <c r="A203" t="str">
        <f t="shared" si="3"/>
        <v>2022_Vic_Kalkee_Lentil_DetailedTOSTOS2VarietyBoltWaterTrtRainFed</v>
      </c>
      <c r="B203">
        <v>2022005</v>
      </c>
      <c r="C203" t="s">
        <v>44</v>
      </c>
      <c r="D203">
        <v>2</v>
      </c>
      <c r="E203" t="s">
        <v>25</v>
      </c>
      <c r="F203" t="s">
        <v>130</v>
      </c>
      <c r="G203" t="s">
        <v>30</v>
      </c>
      <c r="I203">
        <v>2</v>
      </c>
      <c r="J203" t="s">
        <v>37</v>
      </c>
      <c r="K203" s="1">
        <v>44798</v>
      </c>
      <c r="L203">
        <v>10.1762499999999</v>
      </c>
      <c r="M203">
        <v>0.651002762949483</v>
      </c>
    </row>
    <row r="204" spans="1:25" x14ac:dyDescent="0.25">
      <c r="A204" t="str">
        <f t="shared" si="3"/>
        <v>2022_Vic_Kalkee_Lentil_DetailedTOSTOS1VarietyHallmarkXTWaterTrtRainFed</v>
      </c>
      <c r="B204">
        <v>2022005</v>
      </c>
      <c r="C204" t="s">
        <v>44</v>
      </c>
      <c r="D204">
        <v>2</v>
      </c>
      <c r="E204" t="s">
        <v>25</v>
      </c>
      <c r="F204" t="s">
        <v>131</v>
      </c>
      <c r="G204" t="s">
        <v>30</v>
      </c>
      <c r="I204">
        <v>1</v>
      </c>
      <c r="J204" t="s">
        <v>36</v>
      </c>
      <c r="K204" s="1">
        <v>44755</v>
      </c>
      <c r="L204">
        <v>9.9550000000001297</v>
      </c>
      <c r="M204">
        <v>0.651002762949487</v>
      </c>
    </row>
    <row r="205" spans="1:25" x14ac:dyDescent="0.25">
      <c r="A205" t="str">
        <f t="shared" si="3"/>
        <v>2022_Vic_Kalkee_Lentil_DetailedTOSTOS2VarietyHallmarkXTWaterTrtRainFed</v>
      </c>
      <c r="B205">
        <v>2022005</v>
      </c>
      <c r="C205" t="s">
        <v>44</v>
      </c>
      <c r="D205">
        <v>2</v>
      </c>
      <c r="E205" t="s">
        <v>25</v>
      </c>
      <c r="F205" t="s">
        <v>131</v>
      </c>
      <c r="G205" t="s">
        <v>30</v>
      </c>
      <c r="I205">
        <v>2</v>
      </c>
      <c r="J205" t="s">
        <v>37</v>
      </c>
      <c r="K205" s="1">
        <v>44798</v>
      </c>
      <c r="L205">
        <v>10.798749999999901</v>
      </c>
      <c r="M205">
        <v>0.651002762949486</v>
      </c>
    </row>
    <row r="206" spans="1:25" x14ac:dyDescent="0.25">
      <c r="A206" t="str">
        <f t="shared" si="3"/>
        <v>2022_Vic_Kalkee_Lentil_DetailedTOSTOS1VarietyJumbo2WaterTrtRainFed</v>
      </c>
      <c r="B206">
        <v>2022005</v>
      </c>
      <c r="C206" t="s">
        <v>44</v>
      </c>
      <c r="D206">
        <v>2</v>
      </c>
      <c r="E206" t="s">
        <v>25</v>
      </c>
      <c r="F206" t="s">
        <v>132</v>
      </c>
      <c r="G206" t="s">
        <v>30</v>
      </c>
      <c r="I206">
        <v>1</v>
      </c>
      <c r="J206" t="s">
        <v>36</v>
      </c>
      <c r="K206" s="1">
        <v>44755</v>
      </c>
      <c r="L206">
        <v>9.7187500000001403</v>
      </c>
      <c r="M206">
        <v>0.651002762949487</v>
      </c>
    </row>
    <row r="207" spans="1:25" x14ac:dyDescent="0.25">
      <c r="A207" t="str">
        <f t="shared" si="3"/>
        <v>2022_Vic_Kalkee_Lentil_DetailedTOSTOS2VarietyJumbo2WaterTrtRainFed</v>
      </c>
      <c r="B207">
        <v>2022005</v>
      </c>
      <c r="C207" t="s">
        <v>44</v>
      </c>
      <c r="D207">
        <v>2</v>
      </c>
      <c r="E207" t="s">
        <v>25</v>
      </c>
      <c r="F207" t="s">
        <v>132</v>
      </c>
      <c r="G207" t="s">
        <v>30</v>
      </c>
      <c r="I207">
        <v>2</v>
      </c>
      <c r="J207" t="s">
        <v>37</v>
      </c>
      <c r="K207" s="1">
        <v>44798</v>
      </c>
      <c r="L207">
        <v>9.2837499999999604</v>
      </c>
      <c r="M207">
        <v>0.651002762949486</v>
      </c>
    </row>
    <row r="208" spans="1:25" x14ac:dyDescent="0.25">
      <c r="A208" t="str">
        <f t="shared" si="3"/>
        <v>2022_Vic_Kalkee_Lentil_DetailedTOSTOS1VarietyKelpieXTWaterTrtRainFed</v>
      </c>
      <c r="B208">
        <v>2022005</v>
      </c>
      <c r="C208" t="s">
        <v>44</v>
      </c>
      <c r="D208">
        <v>2</v>
      </c>
      <c r="E208" t="s">
        <v>25</v>
      </c>
      <c r="F208" t="s">
        <v>133</v>
      </c>
      <c r="G208" t="s">
        <v>30</v>
      </c>
      <c r="I208">
        <v>1</v>
      </c>
      <c r="J208" t="s">
        <v>36</v>
      </c>
      <c r="K208" s="1">
        <v>44755</v>
      </c>
      <c r="L208">
        <v>9.0737500000001496</v>
      </c>
      <c r="M208">
        <v>0.651002762949487</v>
      </c>
    </row>
    <row r="209" spans="1:13" x14ac:dyDescent="0.25">
      <c r="A209" t="str">
        <f t="shared" si="3"/>
        <v>2022_Vic_Kalkee_Lentil_DetailedTOSTOS2VarietyKelpieXTWaterTrtRainFed</v>
      </c>
      <c r="B209">
        <v>2022005</v>
      </c>
      <c r="C209" t="s">
        <v>44</v>
      </c>
      <c r="D209">
        <v>2</v>
      </c>
      <c r="E209" t="s">
        <v>25</v>
      </c>
      <c r="F209" t="s">
        <v>133</v>
      </c>
      <c r="G209" t="s">
        <v>30</v>
      </c>
      <c r="I209">
        <v>2</v>
      </c>
      <c r="J209" t="s">
        <v>37</v>
      </c>
      <c r="K209" s="1">
        <v>44798</v>
      </c>
      <c r="L209">
        <v>9.4799999999999596</v>
      </c>
      <c r="M209">
        <v>0.651002762949486</v>
      </c>
    </row>
    <row r="210" spans="1:13" x14ac:dyDescent="0.25">
      <c r="A210" t="str">
        <f t="shared" si="3"/>
        <v>2022_Vic_Kalkee_Lentil_DetailedTOSTOS1VarietyBoltWaterTrtRainFed</v>
      </c>
      <c r="B210">
        <v>2022005</v>
      </c>
      <c r="C210" t="s">
        <v>44</v>
      </c>
      <c r="D210">
        <v>3</v>
      </c>
      <c r="E210" t="s">
        <v>31</v>
      </c>
      <c r="F210" t="s">
        <v>130</v>
      </c>
      <c r="G210" t="s">
        <v>30</v>
      </c>
      <c r="I210">
        <v>1</v>
      </c>
      <c r="J210" t="s">
        <v>36</v>
      </c>
      <c r="K210" s="1">
        <v>44788</v>
      </c>
      <c r="L210">
        <v>53.192500000000003</v>
      </c>
      <c r="M210">
        <v>3.6192182455289799</v>
      </c>
    </row>
    <row r="211" spans="1:13" x14ac:dyDescent="0.25">
      <c r="A211" t="str">
        <f t="shared" si="3"/>
        <v>2022_Vic_Kalkee_Lentil_DetailedTOSTOS2VarietyBoltWaterTrtRainFed</v>
      </c>
      <c r="B211">
        <v>2022005</v>
      </c>
      <c r="C211" t="s">
        <v>44</v>
      </c>
      <c r="D211">
        <v>3</v>
      </c>
      <c r="E211" t="s">
        <v>31</v>
      </c>
      <c r="F211" t="s">
        <v>130</v>
      </c>
      <c r="G211" t="s">
        <v>30</v>
      </c>
      <c r="I211">
        <v>2</v>
      </c>
      <c r="J211" t="s">
        <v>37</v>
      </c>
      <c r="K211" s="1">
        <v>44823</v>
      </c>
      <c r="L211">
        <v>58.728749999999799</v>
      </c>
      <c r="M211">
        <v>3.6192182455289901</v>
      </c>
    </row>
    <row r="212" spans="1:13" x14ac:dyDescent="0.25">
      <c r="A212" t="str">
        <f t="shared" si="3"/>
        <v>2022_Vic_Kalkee_Lentil_DetailedTOSTOS1VarietyHallmarkXTWaterTrtRainFed</v>
      </c>
      <c r="B212">
        <v>2022005</v>
      </c>
      <c r="C212" t="s">
        <v>44</v>
      </c>
      <c r="D212">
        <v>3</v>
      </c>
      <c r="E212" t="s">
        <v>31</v>
      </c>
      <c r="F212" t="s">
        <v>131</v>
      </c>
      <c r="G212" t="s">
        <v>30</v>
      </c>
      <c r="I212">
        <v>1</v>
      </c>
      <c r="J212" t="s">
        <v>36</v>
      </c>
      <c r="K212" s="1">
        <v>44788</v>
      </c>
      <c r="L212">
        <v>47.801250000000003</v>
      </c>
      <c r="M212">
        <v>3.6192182455289901</v>
      </c>
    </row>
    <row r="213" spans="1:13" x14ac:dyDescent="0.25">
      <c r="A213" t="str">
        <f t="shared" si="3"/>
        <v>2022_Vic_Kalkee_Lentil_DetailedTOSTOS2VarietyHallmarkXTWaterTrtRainFed</v>
      </c>
      <c r="B213">
        <v>2022005</v>
      </c>
      <c r="C213" t="s">
        <v>44</v>
      </c>
      <c r="D213">
        <v>3</v>
      </c>
      <c r="E213" t="s">
        <v>31</v>
      </c>
      <c r="F213" t="s">
        <v>131</v>
      </c>
      <c r="G213" t="s">
        <v>30</v>
      </c>
      <c r="I213">
        <v>2</v>
      </c>
      <c r="J213" t="s">
        <v>37</v>
      </c>
      <c r="K213" s="1">
        <v>44823</v>
      </c>
      <c r="L213">
        <v>60.3</v>
      </c>
      <c r="M213">
        <v>3.6192182455289901</v>
      </c>
    </row>
    <row r="214" spans="1:13" x14ac:dyDescent="0.25">
      <c r="A214" t="str">
        <f t="shared" si="3"/>
        <v>2022_Vic_Kalkee_Lentil_DetailedTOSTOS1VarietyJumbo2WaterTrtRainFed</v>
      </c>
      <c r="B214">
        <v>2022005</v>
      </c>
      <c r="C214" t="s">
        <v>44</v>
      </c>
      <c r="D214">
        <v>3</v>
      </c>
      <c r="E214" t="s">
        <v>31</v>
      </c>
      <c r="F214" t="s">
        <v>132</v>
      </c>
      <c r="G214" t="s">
        <v>30</v>
      </c>
      <c r="I214">
        <v>1</v>
      </c>
      <c r="J214" t="s">
        <v>36</v>
      </c>
      <c r="K214" s="1">
        <v>44788</v>
      </c>
      <c r="L214">
        <v>45.638749999999902</v>
      </c>
      <c r="M214">
        <v>3.6192182455289901</v>
      </c>
    </row>
    <row r="215" spans="1:13" x14ac:dyDescent="0.25">
      <c r="A215" t="str">
        <f t="shared" si="3"/>
        <v>2022_Vic_Kalkee_Lentil_DetailedTOSTOS2VarietyJumbo2WaterTrtRainFed</v>
      </c>
      <c r="B215">
        <v>2022005</v>
      </c>
      <c r="C215" t="s">
        <v>44</v>
      </c>
      <c r="D215">
        <v>3</v>
      </c>
      <c r="E215" t="s">
        <v>31</v>
      </c>
      <c r="F215" t="s">
        <v>132</v>
      </c>
      <c r="G215" t="s">
        <v>30</v>
      </c>
      <c r="I215">
        <v>2</v>
      </c>
      <c r="J215" t="s">
        <v>37</v>
      </c>
      <c r="K215" s="1">
        <v>44823</v>
      </c>
      <c r="L215">
        <v>57.014999999999901</v>
      </c>
      <c r="M215">
        <v>3.6192182455289901</v>
      </c>
    </row>
    <row r="216" spans="1:13" x14ac:dyDescent="0.25">
      <c r="A216" t="str">
        <f t="shared" si="3"/>
        <v>2022_Vic_Kalkee_Lentil_DetailedTOSTOS1VarietyKelpieXTWaterTrtRainFed</v>
      </c>
      <c r="B216">
        <v>2022005</v>
      </c>
      <c r="C216" t="s">
        <v>44</v>
      </c>
      <c r="D216">
        <v>3</v>
      </c>
      <c r="E216" t="s">
        <v>31</v>
      </c>
      <c r="F216" t="s">
        <v>133</v>
      </c>
      <c r="G216" t="s">
        <v>30</v>
      </c>
      <c r="I216">
        <v>1</v>
      </c>
      <c r="J216" t="s">
        <v>36</v>
      </c>
      <c r="K216" s="1">
        <v>44788</v>
      </c>
      <c r="L216">
        <v>46.65</v>
      </c>
      <c r="M216">
        <v>3.6192182455289901</v>
      </c>
    </row>
    <row r="217" spans="1:13" x14ac:dyDescent="0.25">
      <c r="A217" t="str">
        <f t="shared" si="3"/>
        <v>2022_Vic_Kalkee_Lentil_DetailedTOSTOS2VarietyKelpieXTWaterTrtRainFed</v>
      </c>
      <c r="B217">
        <v>2022005</v>
      </c>
      <c r="C217" t="s">
        <v>44</v>
      </c>
      <c r="D217">
        <v>3</v>
      </c>
      <c r="E217" t="s">
        <v>31</v>
      </c>
      <c r="F217" t="s">
        <v>133</v>
      </c>
      <c r="G217" t="s">
        <v>30</v>
      </c>
      <c r="I217">
        <v>2</v>
      </c>
      <c r="J217" t="s">
        <v>37</v>
      </c>
      <c r="K217" s="1">
        <v>44823</v>
      </c>
      <c r="L217">
        <v>54.371249999999897</v>
      </c>
      <c r="M217">
        <v>3.6192182455289901</v>
      </c>
    </row>
    <row r="218" spans="1:13" x14ac:dyDescent="0.25">
      <c r="A218" t="str">
        <f t="shared" si="3"/>
        <v>2022_Vic_Kalkee_Lentil_DetailedTOSTOS1VarietyBoltWaterTrtRainFed</v>
      </c>
      <c r="B218">
        <v>2022005</v>
      </c>
      <c r="C218" t="s">
        <v>44</v>
      </c>
      <c r="D218">
        <v>4</v>
      </c>
      <c r="E218" t="s">
        <v>32</v>
      </c>
      <c r="F218" t="s">
        <v>130</v>
      </c>
      <c r="G218" t="s">
        <v>30</v>
      </c>
      <c r="I218">
        <v>1</v>
      </c>
      <c r="J218" t="s">
        <v>36</v>
      </c>
      <c r="K218" s="1">
        <v>44844</v>
      </c>
      <c r="L218">
        <v>520.35124999999402</v>
      </c>
      <c r="M218">
        <v>22.457572438217301</v>
      </c>
    </row>
    <row r="219" spans="1:13" x14ac:dyDescent="0.25">
      <c r="A219" t="str">
        <f t="shared" si="3"/>
        <v>2022_Vic_Kalkee_Lentil_DetailedTOSTOS2VarietyBoltWaterTrtRainFed</v>
      </c>
      <c r="B219">
        <v>2022005</v>
      </c>
      <c r="C219" t="s">
        <v>44</v>
      </c>
      <c r="D219">
        <v>4</v>
      </c>
      <c r="E219" t="s">
        <v>32</v>
      </c>
      <c r="F219" t="s">
        <v>130</v>
      </c>
      <c r="G219" t="s">
        <v>30</v>
      </c>
      <c r="I219">
        <v>2</v>
      </c>
      <c r="J219" t="s">
        <v>37</v>
      </c>
      <c r="K219" s="1">
        <v>44868</v>
      </c>
      <c r="L219">
        <v>533.38875000000098</v>
      </c>
      <c r="M219">
        <v>22.4575724382175</v>
      </c>
    </row>
    <row r="220" spans="1:13" x14ac:dyDescent="0.25">
      <c r="A220" t="str">
        <f t="shared" si="3"/>
        <v>2022_Vic_Kalkee_Lentil_DetailedTOSTOS1VarietyHallmarkXTWaterTrtRainFed</v>
      </c>
      <c r="B220">
        <v>2022005</v>
      </c>
      <c r="C220" t="s">
        <v>44</v>
      </c>
      <c r="D220">
        <v>4</v>
      </c>
      <c r="E220" t="s">
        <v>32</v>
      </c>
      <c r="F220" t="s">
        <v>131</v>
      </c>
      <c r="G220" t="s">
        <v>30</v>
      </c>
      <c r="I220">
        <v>1</v>
      </c>
      <c r="J220" t="s">
        <v>36</v>
      </c>
      <c r="K220" s="1">
        <v>44844</v>
      </c>
      <c r="L220">
        <v>527.226249999998</v>
      </c>
      <c r="M220">
        <v>22.457572438217401</v>
      </c>
    </row>
    <row r="221" spans="1:13" x14ac:dyDescent="0.25">
      <c r="A221" t="str">
        <f t="shared" si="3"/>
        <v>2022_Vic_Kalkee_Lentil_DetailedTOSTOS2VarietyHallmarkXTWaterTrtRainFed</v>
      </c>
      <c r="B221">
        <v>2022005</v>
      </c>
      <c r="C221" t="s">
        <v>44</v>
      </c>
      <c r="D221">
        <v>4</v>
      </c>
      <c r="E221" t="s">
        <v>32</v>
      </c>
      <c r="F221" t="s">
        <v>131</v>
      </c>
      <c r="G221" t="s">
        <v>30</v>
      </c>
      <c r="I221">
        <v>2</v>
      </c>
      <c r="J221" t="s">
        <v>37</v>
      </c>
      <c r="K221" s="1">
        <v>44868</v>
      </c>
      <c r="L221">
        <v>535.75000000000102</v>
      </c>
      <c r="M221">
        <v>22.457572438217401</v>
      </c>
    </row>
    <row r="222" spans="1:13" x14ac:dyDescent="0.25">
      <c r="A222" t="str">
        <f t="shared" si="3"/>
        <v>2022_Vic_Kalkee_Lentil_DetailedTOSTOS1VarietyJumbo2WaterTrtRainFed</v>
      </c>
      <c r="B222">
        <v>2022005</v>
      </c>
      <c r="C222" t="s">
        <v>44</v>
      </c>
      <c r="D222">
        <v>4</v>
      </c>
      <c r="E222" t="s">
        <v>32</v>
      </c>
      <c r="F222" t="s">
        <v>132</v>
      </c>
      <c r="G222" t="s">
        <v>30</v>
      </c>
      <c r="I222">
        <v>1</v>
      </c>
      <c r="J222" t="s">
        <v>36</v>
      </c>
      <c r="K222" s="1">
        <v>44844</v>
      </c>
      <c r="L222">
        <v>498.29874999999902</v>
      </c>
      <c r="M222">
        <v>22.457572438217401</v>
      </c>
    </row>
    <row r="223" spans="1:13" x14ac:dyDescent="0.25">
      <c r="A223" t="str">
        <f t="shared" si="3"/>
        <v>2022_Vic_Kalkee_Lentil_DetailedTOSTOS2VarietyJumbo2WaterTrtRainFed</v>
      </c>
      <c r="B223">
        <v>2022005</v>
      </c>
      <c r="C223" t="s">
        <v>44</v>
      </c>
      <c r="D223">
        <v>4</v>
      </c>
      <c r="E223" t="s">
        <v>32</v>
      </c>
      <c r="F223" t="s">
        <v>132</v>
      </c>
      <c r="G223" t="s">
        <v>30</v>
      </c>
      <c r="I223">
        <v>2</v>
      </c>
      <c r="J223" t="s">
        <v>37</v>
      </c>
      <c r="K223" s="1">
        <v>44868</v>
      </c>
      <c r="L223">
        <v>520.01250000000095</v>
      </c>
      <c r="M223">
        <v>22.457572438217401</v>
      </c>
    </row>
    <row r="224" spans="1:13" x14ac:dyDescent="0.25">
      <c r="A224" t="str">
        <f t="shared" si="3"/>
        <v>2022_Vic_Kalkee_Lentil_DetailedTOSTOS1VarietyKelpieXTWaterTrtRainFed</v>
      </c>
      <c r="B224">
        <v>2022005</v>
      </c>
      <c r="C224" t="s">
        <v>44</v>
      </c>
      <c r="D224">
        <v>4</v>
      </c>
      <c r="E224" t="s">
        <v>32</v>
      </c>
      <c r="F224" t="s">
        <v>133</v>
      </c>
      <c r="G224" t="s">
        <v>30</v>
      </c>
      <c r="I224">
        <v>1</v>
      </c>
      <c r="J224" t="s">
        <v>36</v>
      </c>
      <c r="K224" s="1">
        <v>44844</v>
      </c>
      <c r="L224">
        <v>534.13249999999903</v>
      </c>
      <c r="M224">
        <v>22.457572438217401</v>
      </c>
    </row>
    <row r="225" spans="1:25" x14ac:dyDescent="0.25">
      <c r="A225" t="str">
        <f t="shared" si="3"/>
        <v>2022_Vic_Kalkee_Lentil_DetailedTOSTOS2VarietyKelpieXTWaterTrtRainFed</v>
      </c>
      <c r="B225">
        <v>2022005</v>
      </c>
      <c r="C225" t="s">
        <v>44</v>
      </c>
      <c r="D225">
        <v>4</v>
      </c>
      <c r="E225" t="s">
        <v>32</v>
      </c>
      <c r="F225" t="s">
        <v>133</v>
      </c>
      <c r="G225" t="s">
        <v>30</v>
      </c>
      <c r="I225">
        <v>2</v>
      </c>
      <c r="J225" t="s">
        <v>37</v>
      </c>
      <c r="K225" s="1">
        <v>44868</v>
      </c>
      <c r="L225">
        <v>501.70375000000098</v>
      </c>
      <c r="M225">
        <v>22.457572438217401</v>
      </c>
    </row>
    <row r="226" spans="1:25" x14ac:dyDescent="0.25">
      <c r="A226" t="str">
        <f t="shared" si="3"/>
        <v>2022_Vic_Kalkee_Lentil_DetailedTOSTOS1VarietyBoltWaterTrtRainFed</v>
      </c>
      <c r="B226">
        <v>2022005</v>
      </c>
      <c r="C226" t="s">
        <v>44</v>
      </c>
      <c r="D226">
        <v>5</v>
      </c>
      <c r="E226" t="s">
        <v>33</v>
      </c>
      <c r="F226" t="s">
        <v>130</v>
      </c>
      <c r="G226" t="s">
        <v>30</v>
      </c>
      <c r="I226">
        <v>1</v>
      </c>
      <c r="J226" t="s">
        <v>36</v>
      </c>
      <c r="K226" s="1">
        <v>44874</v>
      </c>
      <c r="L226">
        <v>972.965960463589</v>
      </c>
      <c r="M226">
        <v>55.231389365047697</v>
      </c>
    </row>
    <row r="227" spans="1:25" x14ac:dyDescent="0.25">
      <c r="A227" t="str">
        <f t="shared" si="3"/>
        <v>2022_Vic_Kalkee_Lentil_DetailedTOSTOS2VarietyBoltWaterTrtRainFed</v>
      </c>
      <c r="B227">
        <v>2022005</v>
      </c>
      <c r="C227" t="s">
        <v>44</v>
      </c>
      <c r="D227">
        <v>5</v>
      </c>
      <c r="E227" t="s">
        <v>33</v>
      </c>
      <c r="F227" t="s">
        <v>130</v>
      </c>
      <c r="G227" t="s">
        <v>30</v>
      </c>
      <c r="I227">
        <v>2</v>
      </c>
      <c r="J227" t="s">
        <v>37</v>
      </c>
      <c r="K227" s="1">
        <v>44888</v>
      </c>
      <c r="L227">
        <v>769.70124999999803</v>
      </c>
      <c r="M227">
        <v>52.354788107093903</v>
      </c>
    </row>
    <row r="228" spans="1:25" x14ac:dyDescent="0.25">
      <c r="A228" t="str">
        <f t="shared" si="3"/>
        <v>2022_Vic_Kalkee_Lentil_DetailedTOSTOS1VarietyHallmarkXTWaterTrtRainFed</v>
      </c>
      <c r="B228">
        <v>2022005</v>
      </c>
      <c r="C228" t="s">
        <v>44</v>
      </c>
      <c r="D228">
        <v>5</v>
      </c>
      <c r="E228" t="s">
        <v>33</v>
      </c>
      <c r="F228" t="s">
        <v>131</v>
      </c>
      <c r="G228" t="s">
        <v>30</v>
      </c>
      <c r="I228">
        <v>1</v>
      </c>
      <c r="J228" t="s">
        <v>36</v>
      </c>
      <c r="K228" s="1">
        <v>44874</v>
      </c>
      <c r="L228">
        <v>940.48000000000297</v>
      </c>
      <c r="M228">
        <v>52.354788107093903</v>
      </c>
    </row>
    <row r="229" spans="1:25" x14ac:dyDescent="0.25">
      <c r="A229" t="str">
        <f t="shared" si="3"/>
        <v>2022_Vic_Kalkee_Lentil_DetailedTOSTOS2VarietyHallmarkXTWaterTrtRainFed</v>
      </c>
      <c r="B229">
        <v>2022005</v>
      </c>
      <c r="C229" t="s">
        <v>44</v>
      </c>
      <c r="D229">
        <v>5</v>
      </c>
      <c r="E229" t="s">
        <v>33</v>
      </c>
      <c r="F229" t="s">
        <v>131</v>
      </c>
      <c r="G229" t="s">
        <v>30</v>
      </c>
      <c r="I229">
        <v>2</v>
      </c>
      <c r="J229" t="s">
        <v>37</v>
      </c>
      <c r="K229" s="1">
        <v>44888</v>
      </c>
      <c r="L229">
        <v>843.47334277729794</v>
      </c>
      <c r="M229">
        <v>55.315973445924698</v>
      </c>
    </row>
    <row r="230" spans="1:25" x14ac:dyDescent="0.25">
      <c r="A230" t="str">
        <f t="shared" si="3"/>
        <v>2022_Vic_Kalkee_Lentil_DetailedTOSTOS1VarietyJumbo2WaterTrtRainFed</v>
      </c>
      <c r="B230">
        <v>2022005</v>
      </c>
      <c r="C230" t="s">
        <v>44</v>
      </c>
      <c r="D230">
        <v>5</v>
      </c>
      <c r="E230" t="s">
        <v>33</v>
      </c>
      <c r="F230" t="s">
        <v>132</v>
      </c>
      <c r="G230" t="s">
        <v>30</v>
      </c>
      <c r="I230">
        <v>1</v>
      </c>
      <c r="J230" t="s">
        <v>36</v>
      </c>
      <c r="K230" s="1">
        <v>44874</v>
      </c>
      <c r="L230">
        <v>924.36125000000197</v>
      </c>
      <c r="M230">
        <v>52.354788107093903</v>
      </c>
    </row>
    <row r="231" spans="1:25" x14ac:dyDescent="0.25">
      <c r="A231" t="str">
        <f t="shared" si="3"/>
        <v>2022_Vic_Kalkee_Lentil_DetailedTOSTOS2VarietyJumbo2WaterTrtRainFed</v>
      </c>
      <c r="B231">
        <v>2022005</v>
      </c>
      <c r="C231" t="s">
        <v>44</v>
      </c>
      <c r="D231">
        <v>5</v>
      </c>
      <c r="E231" t="s">
        <v>33</v>
      </c>
      <c r="F231" t="s">
        <v>132</v>
      </c>
      <c r="G231" t="s">
        <v>30</v>
      </c>
      <c r="I231">
        <v>2</v>
      </c>
      <c r="J231" t="s">
        <v>37</v>
      </c>
      <c r="K231" s="1">
        <v>44888</v>
      </c>
      <c r="L231">
        <v>909.31998370845099</v>
      </c>
      <c r="M231">
        <v>63.353361620722403</v>
      </c>
    </row>
    <row r="232" spans="1:25" x14ac:dyDescent="0.25">
      <c r="A232" t="str">
        <f t="shared" si="3"/>
        <v>2022_Vic_Kalkee_Lentil_DetailedTOSTOS1VarietyKelpieXTWaterTrtRainFed</v>
      </c>
      <c r="B232">
        <v>2022005</v>
      </c>
      <c r="C232" t="s">
        <v>44</v>
      </c>
      <c r="D232">
        <v>5</v>
      </c>
      <c r="E232" t="s">
        <v>33</v>
      </c>
      <c r="F232" t="s">
        <v>133</v>
      </c>
      <c r="G232" t="s">
        <v>30</v>
      </c>
      <c r="I232">
        <v>1</v>
      </c>
      <c r="J232" t="s">
        <v>36</v>
      </c>
      <c r="K232" s="1">
        <v>44874</v>
      </c>
      <c r="L232">
        <v>989.857129982895</v>
      </c>
      <c r="M232">
        <v>63.2970707772255</v>
      </c>
    </row>
    <row r="233" spans="1:25" x14ac:dyDescent="0.25">
      <c r="A233" t="str">
        <f t="shared" si="3"/>
        <v>2022_Vic_Kalkee_Lentil_DetailedTOSTOS2VarietyKelpieXTWaterTrtRainFed</v>
      </c>
      <c r="B233">
        <v>2022005</v>
      </c>
      <c r="C233" t="s">
        <v>44</v>
      </c>
      <c r="D233">
        <v>5</v>
      </c>
      <c r="E233" t="s">
        <v>33</v>
      </c>
      <c r="F233" t="s">
        <v>133</v>
      </c>
      <c r="G233" t="s">
        <v>30</v>
      </c>
      <c r="I233">
        <v>2</v>
      </c>
      <c r="J233" t="s">
        <v>37</v>
      </c>
      <c r="K233" s="1">
        <v>44888</v>
      </c>
      <c r="L233">
        <v>822.10289341301905</v>
      </c>
      <c r="M233">
        <v>59.077464182141199</v>
      </c>
    </row>
    <row r="234" spans="1:25" x14ac:dyDescent="0.25">
      <c r="A234" t="str">
        <f t="shared" si="3"/>
        <v>2022_Vic_Kalkee_Lentil_DetailedTOSTOS1VarietyBoltWaterTrtRainFed</v>
      </c>
      <c r="B234">
        <v>2022005</v>
      </c>
      <c r="C234" t="s">
        <v>44</v>
      </c>
      <c r="D234">
        <v>6</v>
      </c>
      <c r="E234" t="s">
        <v>34</v>
      </c>
      <c r="F234" t="s">
        <v>130</v>
      </c>
      <c r="G234" t="s">
        <v>30</v>
      </c>
      <c r="I234">
        <v>1</v>
      </c>
      <c r="J234" t="s">
        <v>36</v>
      </c>
      <c r="K234" s="1">
        <v>44917</v>
      </c>
      <c r="L234">
        <v>1412.09179762086</v>
      </c>
      <c r="M234">
        <v>127.033089873751</v>
      </c>
      <c r="N234">
        <v>0.16600000000000001</v>
      </c>
      <c r="O234">
        <v>4.3999999999999997E-2</v>
      </c>
      <c r="P234">
        <v>7774</v>
      </c>
      <c r="Q234">
        <v>2000</v>
      </c>
      <c r="T234">
        <v>7723</v>
      </c>
      <c r="U234">
        <v>2400</v>
      </c>
      <c r="X234">
        <v>240</v>
      </c>
      <c r="Y234">
        <v>51</v>
      </c>
    </row>
    <row r="235" spans="1:25" x14ac:dyDescent="0.25">
      <c r="A235" t="str">
        <f t="shared" si="3"/>
        <v>2022_Vic_Kalkee_Lentil_DetailedTOSTOS2VarietyBoltWaterTrtRainFed</v>
      </c>
      <c r="B235">
        <v>2022005</v>
      </c>
      <c r="C235" t="s">
        <v>44</v>
      </c>
      <c r="D235">
        <v>6</v>
      </c>
      <c r="E235" t="s">
        <v>34</v>
      </c>
      <c r="F235" t="s">
        <v>130</v>
      </c>
      <c r="G235" t="s">
        <v>30</v>
      </c>
      <c r="I235">
        <v>2</v>
      </c>
      <c r="J235" t="s">
        <v>37</v>
      </c>
      <c r="K235" s="1">
        <v>44923</v>
      </c>
      <c r="L235">
        <v>1052.17625</v>
      </c>
      <c r="M235">
        <v>121.178562787052</v>
      </c>
      <c r="N235">
        <v>0.246</v>
      </c>
      <c r="O235">
        <v>3.6999999999999998E-2</v>
      </c>
      <c r="P235">
        <v>7115</v>
      </c>
      <c r="Q235">
        <v>1100</v>
      </c>
      <c r="T235">
        <v>6727</v>
      </c>
      <c r="U235">
        <v>1100</v>
      </c>
      <c r="X235">
        <v>248</v>
      </c>
      <c r="Y235">
        <v>48</v>
      </c>
    </row>
    <row r="236" spans="1:25" x14ac:dyDescent="0.25">
      <c r="A236" t="str">
        <f t="shared" si="3"/>
        <v>2022_Vic_Kalkee_Lentil_DetailedTOSTOS1VarietyHallmarkXTWaterTrtRainFed</v>
      </c>
      <c r="B236">
        <v>2022005</v>
      </c>
      <c r="C236" t="s">
        <v>44</v>
      </c>
      <c r="D236">
        <v>6</v>
      </c>
      <c r="E236" t="s">
        <v>34</v>
      </c>
      <c r="F236" t="s">
        <v>131</v>
      </c>
      <c r="G236" t="s">
        <v>30</v>
      </c>
      <c r="I236">
        <v>1</v>
      </c>
      <c r="J236" t="s">
        <v>36</v>
      </c>
      <c r="K236" s="1">
        <v>44917</v>
      </c>
      <c r="L236">
        <v>1690.2137499999999</v>
      </c>
      <c r="M236">
        <v>121.178562787052</v>
      </c>
      <c r="N236">
        <v>0.17599999999999999</v>
      </c>
      <c r="O236">
        <v>4.3999999999999997E-2</v>
      </c>
      <c r="P236">
        <v>8869</v>
      </c>
      <c r="Q236">
        <v>2000</v>
      </c>
      <c r="T236">
        <v>8514</v>
      </c>
      <c r="U236">
        <v>2400</v>
      </c>
      <c r="X236">
        <v>255</v>
      </c>
      <c r="Y236">
        <v>51</v>
      </c>
    </row>
    <row r="237" spans="1:25" x14ac:dyDescent="0.25">
      <c r="A237" t="str">
        <f t="shared" si="3"/>
        <v>2022_Vic_Kalkee_Lentil_DetailedTOSTOS2VarietyHallmarkXTWaterTrtRainFed</v>
      </c>
      <c r="B237">
        <v>2022005</v>
      </c>
      <c r="C237" t="s">
        <v>44</v>
      </c>
      <c r="D237">
        <v>6</v>
      </c>
      <c r="E237" t="s">
        <v>34</v>
      </c>
      <c r="F237" t="s">
        <v>131</v>
      </c>
      <c r="G237" t="s">
        <v>30</v>
      </c>
      <c r="I237">
        <v>2</v>
      </c>
      <c r="J237" t="s">
        <v>37</v>
      </c>
      <c r="K237" s="1">
        <v>44923</v>
      </c>
      <c r="L237">
        <v>1228.2612890215701</v>
      </c>
      <c r="M237">
        <v>127.690596613702</v>
      </c>
      <c r="N237">
        <v>0.308</v>
      </c>
      <c r="O237">
        <v>3.9E-2</v>
      </c>
      <c r="P237">
        <v>10854</v>
      </c>
      <c r="Q237">
        <v>1200</v>
      </c>
      <c r="T237">
        <v>10951</v>
      </c>
      <c r="U237">
        <v>1100</v>
      </c>
      <c r="X237">
        <v>365</v>
      </c>
      <c r="Y237">
        <v>51</v>
      </c>
    </row>
    <row r="238" spans="1:25" x14ac:dyDescent="0.25">
      <c r="A238" t="str">
        <f t="shared" si="3"/>
        <v>2022_Vic_Kalkee_Lentil_DetailedTOSTOS1VarietyJumbo2WaterTrtRainFed</v>
      </c>
      <c r="B238">
        <v>2022005</v>
      </c>
      <c r="C238" t="s">
        <v>44</v>
      </c>
      <c r="D238">
        <v>6</v>
      </c>
      <c r="E238" t="s">
        <v>34</v>
      </c>
      <c r="F238" t="s">
        <v>132</v>
      </c>
      <c r="G238" t="s">
        <v>30</v>
      </c>
      <c r="I238">
        <v>1</v>
      </c>
      <c r="J238" t="s">
        <v>36</v>
      </c>
      <c r="K238" s="1">
        <v>44917</v>
      </c>
      <c r="L238">
        <v>1636.8225</v>
      </c>
      <c r="M238">
        <v>121.178562787052</v>
      </c>
      <c r="N238">
        <v>6.9000000000000006E-2</v>
      </c>
      <c r="O238">
        <v>4.2000000000000003E-2</v>
      </c>
      <c r="P238">
        <v>12942</v>
      </c>
      <c r="Q238">
        <v>2000</v>
      </c>
      <c r="T238">
        <v>16890</v>
      </c>
      <c r="U238">
        <v>2200</v>
      </c>
      <c r="X238">
        <v>118</v>
      </c>
      <c r="Y238">
        <v>48</v>
      </c>
    </row>
    <row r="239" spans="1:25" x14ac:dyDescent="0.25">
      <c r="A239" t="str">
        <f t="shared" si="3"/>
        <v>2022_Vic_Kalkee_Lentil_DetailedTOSTOS2VarietyJumbo2WaterTrtRainFed</v>
      </c>
      <c r="B239">
        <v>2022005</v>
      </c>
      <c r="C239" t="s">
        <v>44</v>
      </c>
      <c r="D239">
        <v>6</v>
      </c>
      <c r="E239" t="s">
        <v>34</v>
      </c>
      <c r="F239" t="s">
        <v>132</v>
      </c>
      <c r="G239" t="s">
        <v>30</v>
      </c>
      <c r="I239">
        <v>2</v>
      </c>
      <c r="J239" t="s">
        <v>37</v>
      </c>
      <c r="K239" s="1">
        <v>44923</v>
      </c>
      <c r="L239">
        <v>1409.52753058997</v>
      </c>
      <c r="M239">
        <v>143.86505678396401</v>
      </c>
      <c r="N239">
        <v>8.1000000000000003E-2</v>
      </c>
      <c r="O239">
        <v>4.3999999999999997E-2</v>
      </c>
      <c r="P239">
        <v>12395</v>
      </c>
      <c r="Q239">
        <v>1400</v>
      </c>
      <c r="T239">
        <v>16778</v>
      </c>
      <c r="U239">
        <v>1300</v>
      </c>
      <c r="X239">
        <v>121</v>
      </c>
      <c r="Y239">
        <v>61</v>
      </c>
    </row>
    <row r="240" spans="1:25" x14ac:dyDescent="0.25">
      <c r="A240" t="str">
        <f t="shared" si="3"/>
        <v>2022_Vic_Kalkee_Lentil_DetailedTOSTOS1VarietyKelpieXTWaterTrtRainFed</v>
      </c>
      <c r="B240">
        <v>2022005</v>
      </c>
      <c r="C240" t="s">
        <v>44</v>
      </c>
      <c r="D240">
        <v>6</v>
      </c>
      <c r="E240" t="s">
        <v>34</v>
      </c>
      <c r="F240" t="s">
        <v>133</v>
      </c>
      <c r="G240" t="s">
        <v>30</v>
      </c>
      <c r="I240">
        <v>1</v>
      </c>
      <c r="J240" t="s">
        <v>36</v>
      </c>
      <c r="K240" s="1">
        <v>44917</v>
      </c>
      <c r="L240">
        <v>1561.13914378919</v>
      </c>
      <c r="M240">
        <v>143.22140477421499</v>
      </c>
      <c r="N240">
        <v>6.8000000000000005E-2</v>
      </c>
      <c r="O240">
        <v>0.05</v>
      </c>
      <c r="P240">
        <v>14564</v>
      </c>
      <c r="Q240">
        <v>2300</v>
      </c>
      <c r="T240">
        <v>18797</v>
      </c>
      <c r="U240">
        <v>2800</v>
      </c>
      <c r="X240">
        <v>119</v>
      </c>
      <c r="Y240">
        <v>61</v>
      </c>
    </row>
    <row r="241" spans="1:25" x14ac:dyDescent="0.25">
      <c r="A241" t="str">
        <f t="shared" si="3"/>
        <v>2022_Vic_Kalkee_Lentil_DetailedTOSTOS2VarietyKelpieXTWaterTrtRainFed</v>
      </c>
      <c r="B241">
        <v>2022005</v>
      </c>
      <c r="C241" t="s">
        <v>44</v>
      </c>
      <c r="D241">
        <v>6</v>
      </c>
      <c r="E241" t="s">
        <v>34</v>
      </c>
      <c r="F241" t="s">
        <v>133</v>
      </c>
      <c r="G241" t="s">
        <v>30</v>
      </c>
      <c r="I241">
        <v>2</v>
      </c>
      <c r="J241" t="s">
        <v>37</v>
      </c>
      <c r="K241" s="1">
        <v>44923</v>
      </c>
      <c r="L241">
        <v>1279.1676164766</v>
      </c>
      <c r="M241">
        <v>134.66703306380899</v>
      </c>
      <c r="N241">
        <v>0.125</v>
      </c>
      <c r="O241">
        <v>4.1000000000000002E-2</v>
      </c>
      <c r="P241">
        <v>10663</v>
      </c>
      <c r="Q241">
        <v>1300</v>
      </c>
      <c r="T241">
        <v>15530</v>
      </c>
      <c r="U241">
        <v>1200</v>
      </c>
      <c r="X241">
        <v>160</v>
      </c>
      <c r="Y241">
        <v>55</v>
      </c>
    </row>
    <row r="242" spans="1:25" x14ac:dyDescent="0.25">
      <c r="A242" t="str">
        <f t="shared" si="3"/>
        <v>2022_SA_Riverton_Lentil_DetailedTOSTOS1VarietyBoltWaterTrtRainFed</v>
      </c>
      <c r="B242">
        <v>2022006</v>
      </c>
      <c r="C242" t="s">
        <v>45</v>
      </c>
      <c r="D242">
        <v>2</v>
      </c>
      <c r="E242" t="s">
        <v>25</v>
      </c>
      <c r="F242" t="s">
        <v>130</v>
      </c>
      <c r="G242" t="s">
        <v>30</v>
      </c>
      <c r="I242">
        <v>1</v>
      </c>
      <c r="J242" t="s">
        <v>42</v>
      </c>
      <c r="K242" s="1">
        <v>44784</v>
      </c>
      <c r="L242">
        <v>12.9950000000002</v>
      </c>
      <c r="M242">
        <v>0.82393727930800198</v>
      </c>
    </row>
    <row r="243" spans="1:25" x14ac:dyDescent="0.25">
      <c r="A243" t="str">
        <f t="shared" si="3"/>
        <v>2022_SA_Riverton_Lentil_DetailedTOSTOS2VarietyBoltWaterTrtRainFed</v>
      </c>
      <c r="B243">
        <v>2022006</v>
      </c>
      <c r="C243" t="s">
        <v>45</v>
      </c>
      <c r="D243">
        <v>2</v>
      </c>
      <c r="E243" t="s">
        <v>25</v>
      </c>
      <c r="F243" t="s">
        <v>130</v>
      </c>
      <c r="G243" t="s">
        <v>30</v>
      </c>
      <c r="I243">
        <v>2</v>
      </c>
      <c r="J243" t="s">
        <v>43</v>
      </c>
      <c r="K243" s="1">
        <v>44810</v>
      </c>
      <c r="L243">
        <v>12.036563662031901</v>
      </c>
      <c r="M243">
        <v>0.87131483850126301</v>
      </c>
    </row>
    <row r="244" spans="1:25" x14ac:dyDescent="0.25">
      <c r="A244" t="str">
        <f t="shared" si="3"/>
        <v>2022_SA_Riverton_Lentil_DetailedTOSTOS1VarietyHallmarkXTWaterTrtRainFed</v>
      </c>
      <c r="B244">
        <v>2022006</v>
      </c>
      <c r="C244" t="s">
        <v>45</v>
      </c>
      <c r="D244">
        <v>2</v>
      </c>
      <c r="E244" t="s">
        <v>25</v>
      </c>
      <c r="F244" t="s">
        <v>131</v>
      </c>
      <c r="G244" t="s">
        <v>30</v>
      </c>
      <c r="I244">
        <v>1</v>
      </c>
      <c r="J244" t="s">
        <v>42</v>
      </c>
      <c r="K244" s="1">
        <v>44784</v>
      </c>
      <c r="L244">
        <v>11.76125</v>
      </c>
      <c r="M244">
        <v>0.82393727930799399</v>
      </c>
    </row>
    <row r="245" spans="1:25" x14ac:dyDescent="0.25">
      <c r="A245" t="str">
        <f t="shared" si="3"/>
        <v>2022_SA_Riverton_Lentil_DetailedTOSTOS2VarietyHallmarkXTWaterTrtRainFed</v>
      </c>
      <c r="B245">
        <v>2022006</v>
      </c>
      <c r="C245" t="s">
        <v>45</v>
      </c>
      <c r="D245">
        <v>2</v>
      </c>
      <c r="E245" t="s">
        <v>25</v>
      </c>
      <c r="F245" t="s">
        <v>131</v>
      </c>
      <c r="G245" t="s">
        <v>30</v>
      </c>
      <c r="I245">
        <v>2</v>
      </c>
      <c r="J245" t="s">
        <v>43</v>
      </c>
      <c r="K245" s="1">
        <v>44810</v>
      </c>
      <c r="L245">
        <v>12.953749999999999</v>
      </c>
      <c r="M245">
        <v>0.82393727930799598</v>
      </c>
    </row>
    <row r="246" spans="1:25" x14ac:dyDescent="0.25">
      <c r="A246" t="str">
        <f t="shared" si="3"/>
        <v>2022_SA_Riverton_Lentil_DetailedTOSTOS1VarietyJumbo2WaterTrtRainFed</v>
      </c>
      <c r="B246">
        <v>2022006</v>
      </c>
      <c r="C246" t="s">
        <v>45</v>
      </c>
      <c r="D246">
        <v>2</v>
      </c>
      <c r="E246" t="s">
        <v>25</v>
      </c>
      <c r="F246" t="s">
        <v>132</v>
      </c>
      <c r="G246" t="s">
        <v>30</v>
      </c>
      <c r="I246">
        <v>1</v>
      </c>
      <c r="J246" t="s">
        <v>42</v>
      </c>
      <c r="K246" s="1">
        <v>44784</v>
      </c>
      <c r="L246">
        <v>12.29125</v>
      </c>
      <c r="M246">
        <v>0.82393727930799499</v>
      </c>
    </row>
    <row r="247" spans="1:25" x14ac:dyDescent="0.25">
      <c r="A247" t="str">
        <f t="shared" si="3"/>
        <v>2022_SA_Riverton_Lentil_DetailedTOSTOS2VarietyJumbo2WaterTrtRainFed</v>
      </c>
      <c r="B247">
        <v>2022006</v>
      </c>
      <c r="C247" t="s">
        <v>45</v>
      </c>
      <c r="D247">
        <v>2</v>
      </c>
      <c r="E247" t="s">
        <v>25</v>
      </c>
      <c r="F247" t="s">
        <v>132</v>
      </c>
      <c r="G247" t="s">
        <v>30</v>
      </c>
      <c r="I247">
        <v>2</v>
      </c>
      <c r="J247" t="s">
        <v>43</v>
      </c>
      <c r="K247" s="1">
        <v>44810</v>
      </c>
      <c r="L247">
        <v>13.803750000000001</v>
      </c>
      <c r="M247">
        <v>0.82393727930799598</v>
      </c>
    </row>
    <row r="248" spans="1:25" x14ac:dyDescent="0.25">
      <c r="A248" t="str">
        <f t="shared" si="3"/>
        <v>2022_SA_Riverton_Lentil_DetailedTOSTOS1VarietyKelpieXTWaterTrtRainFed</v>
      </c>
      <c r="B248">
        <v>2022006</v>
      </c>
      <c r="C248" t="s">
        <v>45</v>
      </c>
      <c r="D248">
        <v>2</v>
      </c>
      <c r="E248" t="s">
        <v>25</v>
      </c>
      <c r="F248" t="s">
        <v>133</v>
      </c>
      <c r="G248" t="s">
        <v>30</v>
      </c>
      <c r="I248">
        <v>1</v>
      </c>
      <c r="J248" t="s">
        <v>42</v>
      </c>
      <c r="K248" s="1">
        <v>44784</v>
      </c>
      <c r="L248">
        <v>10.66625</v>
      </c>
      <c r="M248">
        <v>0.82393727930799399</v>
      </c>
    </row>
    <row r="249" spans="1:25" x14ac:dyDescent="0.25">
      <c r="A249" t="str">
        <f t="shared" si="3"/>
        <v>2022_SA_Riverton_Lentil_DetailedTOSTOS2VarietyKelpieXTWaterTrtRainFed</v>
      </c>
      <c r="B249">
        <v>2022006</v>
      </c>
      <c r="C249" t="s">
        <v>45</v>
      </c>
      <c r="D249">
        <v>2</v>
      </c>
      <c r="E249" t="s">
        <v>25</v>
      </c>
      <c r="F249" t="s">
        <v>133</v>
      </c>
      <c r="G249" t="s">
        <v>30</v>
      </c>
      <c r="I249">
        <v>2</v>
      </c>
      <c r="J249" t="s">
        <v>43</v>
      </c>
      <c r="K249" s="1">
        <v>44810</v>
      </c>
      <c r="L249">
        <v>14.313750000000001</v>
      </c>
      <c r="M249">
        <v>0.82393727930799598</v>
      </c>
    </row>
    <row r="250" spans="1:25" x14ac:dyDescent="0.25">
      <c r="A250" t="str">
        <f t="shared" si="3"/>
        <v>2022_SA_Riverton_Lentil_DetailedTOSTOS1VarietyBoltWaterTrtRainFed</v>
      </c>
      <c r="B250">
        <v>2022006</v>
      </c>
      <c r="C250" t="s">
        <v>45</v>
      </c>
      <c r="D250">
        <v>3</v>
      </c>
      <c r="E250" t="s">
        <v>31</v>
      </c>
      <c r="F250" t="s">
        <v>130</v>
      </c>
      <c r="G250" t="s">
        <v>30</v>
      </c>
      <c r="I250">
        <v>1</v>
      </c>
      <c r="J250" t="s">
        <v>42</v>
      </c>
      <c r="K250" s="1">
        <v>44816</v>
      </c>
      <c r="L250">
        <v>117.74500000000199</v>
      </c>
      <c r="M250">
        <v>5.2300062816679498</v>
      </c>
    </row>
    <row r="251" spans="1:25" x14ac:dyDescent="0.25">
      <c r="A251" t="str">
        <f t="shared" si="3"/>
        <v>2022_SA_Riverton_Lentil_DetailedTOSTOS2VarietyBoltWaterTrtRainFed</v>
      </c>
      <c r="B251">
        <v>2022006</v>
      </c>
      <c r="C251" t="s">
        <v>45</v>
      </c>
      <c r="D251">
        <v>3</v>
      </c>
      <c r="E251" t="s">
        <v>31</v>
      </c>
      <c r="F251" t="s">
        <v>130</v>
      </c>
      <c r="G251" t="s">
        <v>30</v>
      </c>
      <c r="I251">
        <v>2</v>
      </c>
      <c r="J251" t="s">
        <v>43</v>
      </c>
      <c r="K251" s="1">
        <v>44833</v>
      </c>
      <c r="L251">
        <v>105.70625</v>
      </c>
      <c r="M251">
        <v>5.2300062816679196</v>
      </c>
    </row>
    <row r="252" spans="1:25" x14ac:dyDescent="0.25">
      <c r="A252" t="str">
        <f t="shared" si="3"/>
        <v>2022_SA_Riverton_Lentil_DetailedTOSTOS1VarietyHallmarkXTWaterTrtRainFed</v>
      </c>
      <c r="B252">
        <v>2022006</v>
      </c>
      <c r="C252" t="s">
        <v>45</v>
      </c>
      <c r="D252">
        <v>3</v>
      </c>
      <c r="E252" t="s">
        <v>31</v>
      </c>
      <c r="F252" t="s">
        <v>131</v>
      </c>
      <c r="G252" t="s">
        <v>30</v>
      </c>
      <c r="I252">
        <v>1</v>
      </c>
      <c r="J252" t="s">
        <v>42</v>
      </c>
      <c r="K252" s="1">
        <v>44816</v>
      </c>
      <c r="L252">
        <v>101.935</v>
      </c>
      <c r="M252">
        <v>5.2300062816679302</v>
      </c>
    </row>
    <row r="253" spans="1:25" x14ac:dyDescent="0.25">
      <c r="A253" t="str">
        <f t="shared" si="3"/>
        <v>2022_SA_Riverton_Lentil_DetailedTOSTOS2VarietyHallmarkXTWaterTrtRainFed</v>
      </c>
      <c r="B253">
        <v>2022006</v>
      </c>
      <c r="C253" t="s">
        <v>45</v>
      </c>
      <c r="D253">
        <v>3</v>
      </c>
      <c r="E253" t="s">
        <v>31</v>
      </c>
      <c r="F253" t="s">
        <v>131</v>
      </c>
      <c r="G253" t="s">
        <v>30</v>
      </c>
      <c r="I253">
        <v>2</v>
      </c>
      <c r="J253" t="s">
        <v>43</v>
      </c>
      <c r="K253" s="1">
        <v>44833</v>
      </c>
      <c r="L253">
        <v>112.4975</v>
      </c>
      <c r="M253">
        <v>5.2300062816679302</v>
      </c>
    </row>
    <row r="254" spans="1:25" x14ac:dyDescent="0.25">
      <c r="A254" t="str">
        <f t="shared" si="3"/>
        <v>2022_SA_Riverton_Lentil_DetailedTOSTOS1VarietyJumbo2WaterTrtRainFed</v>
      </c>
      <c r="B254">
        <v>2022006</v>
      </c>
      <c r="C254" t="s">
        <v>45</v>
      </c>
      <c r="D254">
        <v>3</v>
      </c>
      <c r="E254" t="s">
        <v>31</v>
      </c>
      <c r="F254" t="s">
        <v>132</v>
      </c>
      <c r="G254" t="s">
        <v>30</v>
      </c>
      <c r="I254">
        <v>1</v>
      </c>
      <c r="J254" t="s">
        <v>42</v>
      </c>
      <c r="K254" s="1">
        <v>44816</v>
      </c>
      <c r="L254">
        <v>108.5475</v>
      </c>
      <c r="M254">
        <v>5.2300062816679302</v>
      </c>
    </row>
    <row r="255" spans="1:25" x14ac:dyDescent="0.25">
      <c r="A255" t="str">
        <f t="shared" si="3"/>
        <v>2022_SA_Riverton_Lentil_DetailedTOSTOS2VarietyJumbo2WaterTrtRainFed</v>
      </c>
      <c r="B255">
        <v>2022006</v>
      </c>
      <c r="C255" t="s">
        <v>45</v>
      </c>
      <c r="D255">
        <v>3</v>
      </c>
      <c r="E255" t="s">
        <v>31</v>
      </c>
      <c r="F255" t="s">
        <v>132</v>
      </c>
      <c r="G255" t="s">
        <v>30</v>
      </c>
      <c r="I255">
        <v>2</v>
      </c>
      <c r="J255" t="s">
        <v>43</v>
      </c>
      <c r="K255" s="1">
        <v>44833</v>
      </c>
      <c r="L255">
        <v>114.00125000000099</v>
      </c>
      <c r="M255">
        <v>5.2300062816679302</v>
      </c>
    </row>
    <row r="256" spans="1:25" x14ac:dyDescent="0.25">
      <c r="A256" t="str">
        <f t="shared" si="3"/>
        <v>2022_SA_Riverton_Lentil_DetailedTOSTOS1VarietyKelpieXTWaterTrtRainFed</v>
      </c>
      <c r="B256">
        <v>2022006</v>
      </c>
      <c r="C256" t="s">
        <v>45</v>
      </c>
      <c r="D256">
        <v>3</v>
      </c>
      <c r="E256" t="s">
        <v>31</v>
      </c>
      <c r="F256" t="s">
        <v>133</v>
      </c>
      <c r="G256" t="s">
        <v>30</v>
      </c>
      <c r="I256">
        <v>1</v>
      </c>
      <c r="J256" t="s">
        <v>42</v>
      </c>
      <c r="K256" s="1">
        <v>44816</v>
      </c>
      <c r="L256">
        <v>100.3725</v>
      </c>
      <c r="M256">
        <v>5.2300062816679302</v>
      </c>
    </row>
    <row r="257" spans="1:13" x14ac:dyDescent="0.25">
      <c r="A257" t="str">
        <f t="shared" si="3"/>
        <v>2022_SA_Riverton_Lentil_DetailedTOSTOS2VarietyKelpieXTWaterTrtRainFed</v>
      </c>
      <c r="B257">
        <v>2022006</v>
      </c>
      <c r="C257" t="s">
        <v>45</v>
      </c>
      <c r="D257">
        <v>3</v>
      </c>
      <c r="E257" t="s">
        <v>31</v>
      </c>
      <c r="F257" t="s">
        <v>133</v>
      </c>
      <c r="G257" t="s">
        <v>30</v>
      </c>
      <c r="I257">
        <v>2</v>
      </c>
      <c r="J257" t="s">
        <v>43</v>
      </c>
      <c r="K257" s="1">
        <v>44833</v>
      </c>
      <c r="L257">
        <v>118.47875000000001</v>
      </c>
      <c r="M257">
        <v>5.2300062816679302</v>
      </c>
    </row>
    <row r="258" spans="1:13" x14ac:dyDescent="0.25">
      <c r="A258" t="str">
        <f t="shared" si="3"/>
        <v>2022_SA_Riverton_Lentil_DetailedTOSTOS1VarietyBoltWaterTrtRainFed</v>
      </c>
      <c r="B258">
        <v>2022006</v>
      </c>
      <c r="C258" t="s">
        <v>45</v>
      </c>
      <c r="D258">
        <v>4</v>
      </c>
      <c r="E258" t="s">
        <v>32</v>
      </c>
      <c r="F258" t="s">
        <v>130</v>
      </c>
      <c r="G258" t="s">
        <v>30</v>
      </c>
      <c r="I258">
        <v>1</v>
      </c>
      <c r="J258" t="s">
        <v>42</v>
      </c>
      <c r="K258" s="1">
        <v>44833</v>
      </c>
      <c r="L258">
        <v>521.55750000000296</v>
      </c>
      <c r="M258">
        <v>28.4741103704769</v>
      </c>
    </row>
    <row r="259" spans="1:13" x14ac:dyDescent="0.25">
      <c r="A259" t="str">
        <f t="shared" ref="A259:A322" si="4">C259&amp;"TOSTOS"&amp;I259&amp;"Variety"&amp;F259&amp;"WaterTrt"&amp;G259&amp;IF(H259="","","Agronomy"&amp;H259)</f>
        <v>2022_SA_Riverton_Lentil_DetailedTOSTOS2VarietyBoltWaterTrtRainFed</v>
      </c>
      <c r="B259">
        <v>2022006</v>
      </c>
      <c r="C259" t="s">
        <v>45</v>
      </c>
      <c r="D259">
        <v>4</v>
      </c>
      <c r="E259" t="s">
        <v>32</v>
      </c>
      <c r="F259" t="s">
        <v>130</v>
      </c>
      <c r="G259" t="s">
        <v>30</v>
      </c>
      <c r="I259">
        <v>2</v>
      </c>
      <c r="J259" t="s">
        <v>43</v>
      </c>
      <c r="K259" s="1">
        <v>44848</v>
      </c>
      <c r="L259">
        <v>467.46124999999898</v>
      </c>
      <c r="M259">
        <v>28.474110370476598</v>
      </c>
    </row>
    <row r="260" spans="1:13" x14ac:dyDescent="0.25">
      <c r="A260" t="str">
        <f t="shared" si="4"/>
        <v>2022_SA_Riverton_Lentil_DetailedTOSTOS1VarietyHallmarkXTWaterTrtRainFed</v>
      </c>
      <c r="B260">
        <v>2022006</v>
      </c>
      <c r="C260" t="s">
        <v>45</v>
      </c>
      <c r="D260">
        <v>4</v>
      </c>
      <c r="E260" t="s">
        <v>32</v>
      </c>
      <c r="F260" t="s">
        <v>131</v>
      </c>
      <c r="G260" t="s">
        <v>30</v>
      </c>
      <c r="I260">
        <v>1</v>
      </c>
      <c r="J260" t="s">
        <v>42</v>
      </c>
      <c r="K260" s="1">
        <v>44833</v>
      </c>
      <c r="L260">
        <v>377.353350056159</v>
      </c>
      <c r="M260">
        <v>30.0917600358549</v>
      </c>
    </row>
    <row r="261" spans="1:13" x14ac:dyDescent="0.25">
      <c r="A261" t="str">
        <f t="shared" si="4"/>
        <v>2022_SA_Riverton_Lentil_DetailedTOSTOS2VarietyHallmarkXTWaterTrtRainFed</v>
      </c>
      <c r="B261">
        <v>2022006</v>
      </c>
      <c r="C261" t="s">
        <v>45</v>
      </c>
      <c r="D261">
        <v>4</v>
      </c>
      <c r="E261" t="s">
        <v>32</v>
      </c>
      <c r="F261" t="s">
        <v>131</v>
      </c>
      <c r="G261" t="s">
        <v>30</v>
      </c>
      <c r="I261">
        <v>2</v>
      </c>
      <c r="J261" t="s">
        <v>43</v>
      </c>
      <c r="K261" s="1">
        <v>44848</v>
      </c>
      <c r="L261">
        <v>509.11750000000097</v>
      </c>
      <c r="M261">
        <v>28.474110370476598</v>
      </c>
    </row>
    <row r="262" spans="1:13" x14ac:dyDescent="0.25">
      <c r="A262" t="str">
        <f t="shared" si="4"/>
        <v>2022_SA_Riverton_Lentil_DetailedTOSTOS1VarietyJumbo2WaterTrtRainFed</v>
      </c>
      <c r="B262">
        <v>2022006</v>
      </c>
      <c r="C262" t="s">
        <v>45</v>
      </c>
      <c r="D262">
        <v>4</v>
      </c>
      <c r="E262" t="s">
        <v>32</v>
      </c>
      <c r="F262" t="s">
        <v>132</v>
      </c>
      <c r="G262" t="s">
        <v>30</v>
      </c>
      <c r="I262">
        <v>1</v>
      </c>
      <c r="J262" t="s">
        <v>42</v>
      </c>
      <c r="K262" s="1">
        <v>44833</v>
      </c>
      <c r="L262">
        <v>458.43499999999699</v>
      </c>
      <c r="M262">
        <v>28.474110370476701</v>
      </c>
    </row>
    <row r="263" spans="1:13" x14ac:dyDescent="0.25">
      <c r="A263" t="str">
        <f t="shared" si="4"/>
        <v>2022_SA_Riverton_Lentil_DetailedTOSTOS2VarietyJumbo2WaterTrtRainFed</v>
      </c>
      <c r="B263">
        <v>2022006</v>
      </c>
      <c r="C263" t="s">
        <v>45</v>
      </c>
      <c r="D263">
        <v>4</v>
      </c>
      <c r="E263" t="s">
        <v>32</v>
      </c>
      <c r="F263" t="s">
        <v>132</v>
      </c>
      <c r="G263" t="s">
        <v>30</v>
      </c>
      <c r="I263">
        <v>2</v>
      </c>
      <c r="J263" t="s">
        <v>43</v>
      </c>
      <c r="K263" s="1">
        <v>44848</v>
      </c>
      <c r="L263">
        <v>505.29</v>
      </c>
      <c r="M263">
        <v>28.474110370476598</v>
      </c>
    </row>
    <row r="264" spans="1:13" x14ac:dyDescent="0.25">
      <c r="A264" t="str">
        <f t="shared" si="4"/>
        <v>2022_SA_Riverton_Lentil_DetailedTOSTOS1VarietyKelpieXTWaterTrtRainFed</v>
      </c>
      <c r="B264">
        <v>2022006</v>
      </c>
      <c r="C264" t="s">
        <v>45</v>
      </c>
      <c r="D264">
        <v>4</v>
      </c>
      <c r="E264" t="s">
        <v>32</v>
      </c>
      <c r="F264" t="s">
        <v>133</v>
      </c>
      <c r="G264" t="s">
        <v>30</v>
      </c>
      <c r="I264">
        <v>1</v>
      </c>
      <c r="J264" t="s">
        <v>42</v>
      </c>
      <c r="K264" s="1">
        <v>44833</v>
      </c>
      <c r="L264">
        <v>429.81874999999701</v>
      </c>
      <c r="M264">
        <v>28.474110370476701</v>
      </c>
    </row>
    <row r="265" spans="1:13" x14ac:dyDescent="0.25">
      <c r="A265" t="str">
        <f t="shared" si="4"/>
        <v>2022_SA_Riverton_Lentil_DetailedTOSTOS2VarietyKelpieXTWaterTrtRainFed</v>
      </c>
      <c r="B265">
        <v>2022006</v>
      </c>
      <c r="C265" t="s">
        <v>45</v>
      </c>
      <c r="D265">
        <v>4</v>
      </c>
      <c r="E265" t="s">
        <v>32</v>
      </c>
      <c r="F265" t="s">
        <v>133</v>
      </c>
      <c r="G265" t="s">
        <v>30</v>
      </c>
      <c r="I265">
        <v>2</v>
      </c>
      <c r="J265" t="s">
        <v>43</v>
      </c>
      <c r="K265" s="1">
        <v>44848</v>
      </c>
      <c r="L265">
        <v>495.78375000000102</v>
      </c>
      <c r="M265">
        <v>28.474110370476598</v>
      </c>
    </row>
    <row r="266" spans="1:13" x14ac:dyDescent="0.25">
      <c r="A266" t="str">
        <f t="shared" si="4"/>
        <v>2022_SA_Riverton_Lentil_DetailedTOSTOS1VarietyBoltWaterTrtRainFed</v>
      </c>
      <c r="B266">
        <v>2022006</v>
      </c>
      <c r="C266" t="s">
        <v>45</v>
      </c>
      <c r="D266">
        <v>5</v>
      </c>
      <c r="E266" t="s">
        <v>33</v>
      </c>
      <c r="F266" t="s">
        <v>130</v>
      </c>
      <c r="G266" t="s">
        <v>30</v>
      </c>
      <c r="I266">
        <v>1</v>
      </c>
      <c r="J266" t="s">
        <v>42</v>
      </c>
      <c r="K266" s="1">
        <v>44865</v>
      </c>
      <c r="L266">
        <v>962.40749999998695</v>
      </c>
      <c r="M266">
        <v>68.418392977785501</v>
      </c>
    </row>
    <row r="267" spans="1:13" x14ac:dyDescent="0.25">
      <c r="A267" t="str">
        <f t="shared" si="4"/>
        <v>2022_SA_Riverton_Lentil_DetailedTOSTOS2VarietyBoltWaterTrtRainFed</v>
      </c>
      <c r="B267">
        <v>2022006</v>
      </c>
      <c r="C267" t="s">
        <v>45</v>
      </c>
      <c r="D267">
        <v>5</v>
      </c>
      <c r="E267" t="s">
        <v>33</v>
      </c>
      <c r="F267" t="s">
        <v>130</v>
      </c>
      <c r="G267" t="s">
        <v>30</v>
      </c>
      <c r="I267">
        <v>2</v>
      </c>
      <c r="J267" t="s">
        <v>43</v>
      </c>
      <c r="K267" s="1">
        <v>44880</v>
      </c>
      <c r="L267">
        <v>796.27500000000396</v>
      </c>
      <c r="M267">
        <v>68.418392977786496</v>
      </c>
    </row>
    <row r="268" spans="1:13" x14ac:dyDescent="0.25">
      <c r="A268" t="str">
        <f t="shared" si="4"/>
        <v>2022_SA_Riverton_Lentil_DetailedTOSTOS1VarietyHallmarkXTWaterTrtRainFed</v>
      </c>
      <c r="B268">
        <v>2022006</v>
      </c>
      <c r="C268" t="s">
        <v>45</v>
      </c>
      <c r="D268">
        <v>5</v>
      </c>
      <c r="E268" t="s">
        <v>33</v>
      </c>
      <c r="F268" t="s">
        <v>131</v>
      </c>
      <c r="G268" t="s">
        <v>30</v>
      </c>
      <c r="I268">
        <v>1</v>
      </c>
      <c r="J268" t="s">
        <v>42</v>
      </c>
      <c r="K268" s="1">
        <v>44865</v>
      </c>
      <c r="L268">
        <v>939.56249999999898</v>
      </c>
      <c r="M268">
        <v>68.418392977786397</v>
      </c>
    </row>
    <row r="269" spans="1:13" x14ac:dyDescent="0.25">
      <c r="A269" t="str">
        <f t="shared" si="4"/>
        <v>2022_SA_Riverton_Lentil_DetailedTOSTOS2VarietyHallmarkXTWaterTrtRainFed</v>
      </c>
      <c r="B269">
        <v>2022006</v>
      </c>
      <c r="C269" t="s">
        <v>45</v>
      </c>
      <c r="D269">
        <v>5</v>
      </c>
      <c r="E269" t="s">
        <v>33</v>
      </c>
      <c r="F269" t="s">
        <v>131</v>
      </c>
      <c r="G269" t="s">
        <v>30</v>
      </c>
      <c r="I269">
        <v>2</v>
      </c>
      <c r="J269" t="s">
        <v>43</v>
      </c>
      <c r="K269" s="1">
        <v>44880</v>
      </c>
      <c r="L269">
        <v>1160.4512500000001</v>
      </c>
      <c r="M269">
        <v>68.418392977786496</v>
      </c>
    </row>
    <row r="270" spans="1:13" x14ac:dyDescent="0.25">
      <c r="A270" t="str">
        <f t="shared" si="4"/>
        <v>2022_SA_Riverton_Lentil_DetailedTOSTOS1VarietyJumbo2WaterTrtRainFed</v>
      </c>
      <c r="B270">
        <v>2022006</v>
      </c>
      <c r="C270" t="s">
        <v>45</v>
      </c>
      <c r="D270">
        <v>5</v>
      </c>
      <c r="E270" t="s">
        <v>33</v>
      </c>
      <c r="F270" t="s">
        <v>132</v>
      </c>
      <c r="G270" t="s">
        <v>30</v>
      </c>
      <c r="I270">
        <v>1</v>
      </c>
      <c r="J270" t="s">
        <v>42</v>
      </c>
      <c r="K270" s="1">
        <v>44865</v>
      </c>
      <c r="L270">
        <v>1130.585</v>
      </c>
      <c r="M270">
        <v>68.418392977786397</v>
      </c>
    </row>
    <row r="271" spans="1:13" x14ac:dyDescent="0.25">
      <c r="A271" t="str">
        <f t="shared" si="4"/>
        <v>2022_SA_Riverton_Lentil_DetailedTOSTOS2VarietyJumbo2WaterTrtRainFed</v>
      </c>
      <c r="B271">
        <v>2022006</v>
      </c>
      <c r="C271" t="s">
        <v>45</v>
      </c>
      <c r="D271">
        <v>5</v>
      </c>
      <c r="E271" t="s">
        <v>33</v>
      </c>
      <c r="F271" t="s">
        <v>132</v>
      </c>
      <c r="G271" t="s">
        <v>30</v>
      </c>
      <c r="I271">
        <v>2</v>
      </c>
      <c r="J271" t="s">
        <v>43</v>
      </c>
      <c r="K271" s="1">
        <v>44880</v>
      </c>
      <c r="L271">
        <v>1098.9649999999999</v>
      </c>
      <c r="M271">
        <v>68.418392977786496</v>
      </c>
    </row>
    <row r="272" spans="1:13" x14ac:dyDescent="0.25">
      <c r="A272" t="str">
        <f t="shared" si="4"/>
        <v>2022_SA_Riverton_Lentil_DetailedTOSTOS1VarietyKelpieXTWaterTrtRainFed</v>
      </c>
      <c r="B272">
        <v>2022006</v>
      </c>
      <c r="C272" t="s">
        <v>45</v>
      </c>
      <c r="D272">
        <v>5</v>
      </c>
      <c r="E272" t="s">
        <v>33</v>
      </c>
      <c r="F272" t="s">
        <v>133</v>
      </c>
      <c r="G272" t="s">
        <v>30</v>
      </c>
      <c r="I272">
        <v>1</v>
      </c>
      <c r="J272" t="s">
        <v>42</v>
      </c>
      <c r="K272" s="1">
        <v>44865</v>
      </c>
      <c r="L272">
        <v>1141.29</v>
      </c>
      <c r="M272">
        <v>68.418392977786496</v>
      </c>
    </row>
    <row r="273" spans="1:25" x14ac:dyDescent="0.25">
      <c r="A273" t="str">
        <f t="shared" si="4"/>
        <v>2022_SA_Riverton_Lentil_DetailedTOSTOS2VarietyKelpieXTWaterTrtRainFed</v>
      </c>
      <c r="B273">
        <v>2022006</v>
      </c>
      <c r="C273" t="s">
        <v>45</v>
      </c>
      <c r="D273">
        <v>5</v>
      </c>
      <c r="E273" t="s">
        <v>33</v>
      </c>
      <c r="F273" t="s">
        <v>133</v>
      </c>
      <c r="G273" t="s">
        <v>30</v>
      </c>
      <c r="I273">
        <v>2</v>
      </c>
      <c r="J273" t="s">
        <v>43</v>
      </c>
      <c r="K273" s="1">
        <v>44880</v>
      </c>
      <c r="L273">
        <v>908.58375000000103</v>
      </c>
      <c r="M273">
        <v>68.418392977786496</v>
      </c>
    </row>
    <row r="274" spans="1:25" x14ac:dyDescent="0.25">
      <c r="A274" t="str">
        <f t="shared" si="4"/>
        <v>2022_SA_Riverton_Lentil_DetailedTOSTOS1VarietyBoltWaterTrtRainFed</v>
      </c>
      <c r="B274">
        <v>2022006</v>
      </c>
      <c r="C274" t="s">
        <v>45</v>
      </c>
      <c r="D274">
        <v>6</v>
      </c>
      <c r="E274" t="s">
        <v>34</v>
      </c>
      <c r="F274" t="s">
        <v>130</v>
      </c>
      <c r="G274" t="s">
        <v>30</v>
      </c>
      <c r="I274">
        <v>1</v>
      </c>
      <c r="J274" t="s">
        <v>42</v>
      </c>
      <c r="K274" s="1">
        <v>44908</v>
      </c>
      <c r="L274">
        <v>775.75750000003904</v>
      </c>
      <c r="M274">
        <v>93.151012673736702</v>
      </c>
      <c r="N274">
        <v>0.23599999999999999</v>
      </c>
      <c r="O274">
        <v>3.1E-2</v>
      </c>
      <c r="P274">
        <v>7618</v>
      </c>
      <c r="Q274">
        <v>1300</v>
      </c>
      <c r="T274">
        <v>8198</v>
      </c>
      <c r="U274">
        <v>1400</v>
      </c>
      <c r="X274">
        <v>202</v>
      </c>
      <c r="Y274">
        <v>51</v>
      </c>
    </row>
    <row r="275" spans="1:25" x14ac:dyDescent="0.25">
      <c r="A275" t="str">
        <f t="shared" si="4"/>
        <v>2022_SA_Riverton_Lentil_DetailedTOSTOS2VarietyBoltWaterTrtRainFed</v>
      </c>
      <c r="B275">
        <v>2022006</v>
      </c>
      <c r="C275" t="s">
        <v>45</v>
      </c>
      <c r="D275">
        <v>6</v>
      </c>
      <c r="E275" t="s">
        <v>34</v>
      </c>
      <c r="F275" t="s">
        <v>130</v>
      </c>
      <c r="G275" t="s">
        <v>30</v>
      </c>
      <c r="I275">
        <v>2</v>
      </c>
      <c r="J275" t="s">
        <v>43</v>
      </c>
      <c r="K275" s="1">
        <v>44908</v>
      </c>
      <c r="L275">
        <v>964.15875000000597</v>
      </c>
      <c r="M275">
        <v>93.151012673736005</v>
      </c>
      <c r="N275">
        <v>0.248</v>
      </c>
      <c r="O275">
        <v>3.1E-2</v>
      </c>
      <c r="P275">
        <v>9538</v>
      </c>
      <c r="Q275">
        <v>1100</v>
      </c>
      <c r="T275">
        <v>10256</v>
      </c>
      <c r="U275">
        <v>1400</v>
      </c>
      <c r="X275">
        <v>242</v>
      </c>
      <c r="Y275">
        <v>51</v>
      </c>
    </row>
    <row r="276" spans="1:25" x14ac:dyDescent="0.25">
      <c r="A276" t="str">
        <f t="shared" si="4"/>
        <v>2022_SA_Riverton_Lentil_DetailedTOSTOS1VarietyHallmarkXTWaterTrtRainFed</v>
      </c>
      <c r="B276">
        <v>2022006</v>
      </c>
      <c r="C276" t="s">
        <v>45</v>
      </c>
      <c r="D276">
        <v>6</v>
      </c>
      <c r="E276" t="s">
        <v>34</v>
      </c>
      <c r="F276" t="s">
        <v>131</v>
      </c>
      <c r="G276" t="s">
        <v>30</v>
      </c>
      <c r="I276">
        <v>1</v>
      </c>
      <c r="J276" t="s">
        <v>42</v>
      </c>
      <c r="K276" s="1">
        <v>44908</v>
      </c>
      <c r="L276">
        <v>1191.1724999999999</v>
      </c>
      <c r="M276">
        <v>93.151012673736105</v>
      </c>
      <c r="N276">
        <v>0.27300000000000002</v>
      </c>
      <c r="O276">
        <v>3.1E-2</v>
      </c>
      <c r="P276">
        <v>11426</v>
      </c>
      <c r="Q276">
        <v>1400</v>
      </c>
      <c r="T276">
        <v>13267</v>
      </c>
      <c r="U276">
        <v>1400</v>
      </c>
      <c r="X276">
        <v>319</v>
      </c>
      <c r="Y276">
        <v>51</v>
      </c>
    </row>
    <row r="277" spans="1:25" x14ac:dyDescent="0.25">
      <c r="A277" t="str">
        <f t="shared" si="4"/>
        <v>2022_SA_Riverton_Lentil_DetailedTOSTOS2VarietyHallmarkXTWaterTrtRainFed</v>
      </c>
      <c r="B277">
        <v>2022006</v>
      </c>
      <c r="C277" t="s">
        <v>45</v>
      </c>
      <c r="D277">
        <v>6</v>
      </c>
      <c r="E277" t="s">
        <v>34</v>
      </c>
      <c r="F277" t="s">
        <v>131</v>
      </c>
      <c r="G277" t="s">
        <v>30</v>
      </c>
      <c r="I277">
        <v>2</v>
      </c>
      <c r="J277" t="s">
        <v>43</v>
      </c>
      <c r="K277" s="1">
        <v>44908</v>
      </c>
      <c r="L277">
        <v>1292.3687500000101</v>
      </c>
      <c r="M277">
        <v>93.151012673736204</v>
      </c>
      <c r="N277">
        <v>0.22900000000000001</v>
      </c>
      <c r="O277">
        <v>3.1E-2</v>
      </c>
      <c r="P277">
        <v>11717</v>
      </c>
      <c r="Q277">
        <v>1100</v>
      </c>
      <c r="T277">
        <v>11593</v>
      </c>
      <c r="U277">
        <v>1400</v>
      </c>
      <c r="X277">
        <v>309</v>
      </c>
      <c r="Y277">
        <v>51</v>
      </c>
    </row>
    <row r="278" spans="1:25" x14ac:dyDescent="0.25">
      <c r="A278" t="str">
        <f t="shared" si="4"/>
        <v>2022_SA_Riverton_Lentil_DetailedTOSTOS1VarietyJumbo2WaterTrtRainFed</v>
      </c>
      <c r="B278">
        <v>2022006</v>
      </c>
      <c r="C278" t="s">
        <v>45</v>
      </c>
      <c r="D278">
        <v>6</v>
      </c>
      <c r="E278" t="s">
        <v>34</v>
      </c>
      <c r="F278" t="s">
        <v>132</v>
      </c>
      <c r="G278" t="s">
        <v>30</v>
      </c>
      <c r="I278">
        <v>1</v>
      </c>
      <c r="J278" t="s">
        <v>42</v>
      </c>
      <c r="K278" s="1">
        <v>44908</v>
      </c>
      <c r="L278">
        <v>1092.84375000001</v>
      </c>
      <c r="M278">
        <v>93.151012673736105</v>
      </c>
      <c r="N278">
        <v>0.23300000000000001</v>
      </c>
      <c r="O278">
        <v>3.1E-2</v>
      </c>
      <c r="P278">
        <v>7892</v>
      </c>
      <c r="Q278">
        <v>1300</v>
      </c>
      <c r="T278">
        <v>10282</v>
      </c>
      <c r="U278">
        <v>1400</v>
      </c>
      <c r="X278">
        <v>259</v>
      </c>
      <c r="Y278">
        <v>51</v>
      </c>
    </row>
    <row r="279" spans="1:25" x14ac:dyDescent="0.25">
      <c r="A279" t="str">
        <f t="shared" si="4"/>
        <v>2022_SA_Riverton_Lentil_DetailedTOSTOS2VarietyJumbo2WaterTrtRainFed</v>
      </c>
      <c r="B279">
        <v>2022006</v>
      </c>
      <c r="C279" t="s">
        <v>45</v>
      </c>
      <c r="D279">
        <v>6</v>
      </c>
      <c r="E279" t="s">
        <v>34</v>
      </c>
      <c r="F279" t="s">
        <v>132</v>
      </c>
      <c r="G279" t="s">
        <v>30</v>
      </c>
      <c r="I279">
        <v>2</v>
      </c>
      <c r="J279" t="s">
        <v>43</v>
      </c>
      <c r="K279" s="1">
        <v>44908</v>
      </c>
      <c r="L279">
        <v>1116.2250000000099</v>
      </c>
      <c r="M279">
        <v>93.151012673736204</v>
      </c>
      <c r="N279">
        <v>0.34799999999999998</v>
      </c>
      <c r="O279">
        <v>3.1E-2</v>
      </c>
      <c r="P279">
        <v>9174</v>
      </c>
      <c r="Q279">
        <v>1100</v>
      </c>
      <c r="T279">
        <v>11458</v>
      </c>
      <c r="U279">
        <v>1400</v>
      </c>
      <c r="X279">
        <v>385</v>
      </c>
      <c r="Y279">
        <v>51</v>
      </c>
    </row>
    <row r="280" spans="1:25" x14ac:dyDescent="0.25">
      <c r="A280" t="str">
        <f t="shared" si="4"/>
        <v>2022_SA_Riverton_Lentil_DetailedTOSTOS1VarietyKelpieXTWaterTrtRainFed</v>
      </c>
      <c r="B280">
        <v>2022006</v>
      </c>
      <c r="C280" t="s">
        <v>45</v>
      </c>
      <c r="D280">
        <v>6</v>
      </c>
      <c r="E280" t="s">
        <v>34</v>
      </c>
      <c r="F280" t="s">
        <v>133</v>
      </c>
      <c r="G280" t="s">
        <v>30</v>
      </c>
      <c r="I280">
        <v>1</v>
      </c>
      <c r="J280" t="s">
        <v>42</v>
      </c>
      <c r="K280" s="1">
        <v>44908</v>
      </c>
      <c r="L280">
        <v>992.02250000000595</v>
      </c>
      <c r="M280">
        <v>93.151012673736105</v>
      </c>
      <c r="N280">
        <v>0.22500000000000001</v>
      </c>
      <c r="O280">
        <v>3.1E-2</v>
      </c>
      <c r="P280">
        <v>8857</v>
      </c>
      <c r="Q280">
        <v>1300</v>
      </c>
      <c r="T280">
        <v>7807</v>
      </c>
      <c r="U280">
        <v>1400</v>
      </c>
      <c r="X280">
        <v>229</v>
      </c>
      <c r="Y280">
        <v>51</v>
      </c>
    </row>
    <row r="281" spans="1:25" x14ac:dyDescent="0.25">
      <c r="A281" t="str">
        <f t="shared" si="4"/>
        <v>2022_SA_Riverton_Lentil_DetailedTOSTOS2VarietyKelpieXTWaterTrtRainFed</v>
      </c>
      <c r="B281">
        <v>2022006</v>
      </c>
      <c r="C281" t="s">
        <v>45</v>
      </c>
      <c r="D281">
        <v>6</v>
      </c>
      <c r="E281" t="s">
        <v>34</v>
      </c>
      <c r="F281" t="s">
        <v>133</v>
      </c>
      <c r="G281" t="s">
        <v>30</v>
      </c>
      <c r="I281">
        <v>2</v>
      </c>
      <c r="J281" t="s">
        <v>43</v>
      </c>
      <c r="K281" s="1">
        <v>44908</v>
      </c>
      <c r="L281">
        <v>980.26125000000695</v>
      </c>
      <c r="M281">
        <v>93.151012673736204</v>
      </c>
      <c r="N281">
        <v>0.33</v>
      </c>
      <c r="O281">
        <v>3.1E-2</v>
      </c>
      <c r="P281">
        <v>10601</v>
      </c>
      <c r="Q281">
        <v>1100</v>
      </c>
      <c r="T281">
        <v>10620</v>
      </c>
      <c r="U281">
        <v>1400</v>
      </c>
      <c r="X281">
        <v>315</v>
      </c>
      <c r="Y281">
        <v>51</v>
      </c>
    </row>
    <row r="282" spans="1:25" x14ac:dyDescent="0.25">
      <c r="A282" t="str">
        <f t="shared" si="4"/>
        <v>2022_NSW_WaggaWagga_Lentil_DetailedTOSTOS1VarietyBoltWaterTrtRainFed</v>
      </c>
      <c r="B282">
        <v>2022007</v>
      </c>
      <c r="C282" t="s">
        <v>46</v>
      </c>
      <c r="D282">
        <v>2</v>
      </c>
      <c r="E282" t="s">
        <v>25</v>
      </c>
      <c r="F282" t="s">
        <v>130</v>
      </c>
      <c r="G282" t="s">
        <v>30</v>
      </c>
      <c r="I282">
        <v>1</v>
      </c>
      <c r="J282" t="s">
        <v>39</v>
      </c>
      <c r="K282" s="1">
        <v>44722</v>
      </c>
      <c r="L282">
        <v>6.1879832398097001</v>
      </c>
      <c r="M282">
        <v>0.74348313012831801</v>
      </c>
    </row>
    <row r="283" spans="1:25" x14ac:dyDescent="0.25">
      <c r="A283" t="str">
        <f t="shared" si="4"/>
        <v>2022_NSW_WaggaWagga_Lentil_DetailedTOSTOS2VarietyBoltWaterTrtRainFed</v>
      </c>
      <c r="B283">
        <v>2022007</v>
      </c>
      <c r="C283" t="s">
        <v>46</v>
      </c>
      <c r="D283">
        <v>2</v>
      </c>
      <c r="E283" t="s">
        <v>25</v>
      </c>
      <c r="F283" t="s">
        <v>130</v>
      </c>
      <c r="G283" t="s">
        <v>30</v>
      </c>
      <c r="I283">
        <v>2</v>
      </c>
      <c r="J283" t="s">
        <v>40</v>
      </c>
      <c r="K283" s="1">
        <v>44778</v>
      </c>
      <c r="L283">
        <v>12.979516760187099</v>
      </c>
      <c r="M283">
        <v>0.74348313012693401</v>
      </c>
    </row>
    <row r="284" spans="1:25" x14ac:dyDescent="0.25">
      <c r="A284" t="str">
        <f t="shared" si="4"/>
        <v>2022_NSW_WaggaWagga_Lentil_DetailedTOSTOS1VarietyHallmarkXTWaterTrtRainFed</v>
      </c>
      <c r="B284">
        <v>2022007</v>
      </c>
      <c r="C284" t="s">
        <v>46</v>
      </c>
      <c r="D284">
        <v>2</v>
      </c>
      <c r="E284" t="s">
        <v>25</v>
      </c>
      <c r="F284" t="s">
        <v>131</v>
      </c>
      <c r="G284" t="s">
        <v>30</v>
      </c>
      <c r="I284">
        <v>1</v>
      </c>
      <c r="J284" t="s">
        <v>39</v>
      </c>
      <c r="K284" s="1">
        <v>44722</v>
      </c>
      <c r="L284">
        <v>6.4179832335063001</v>
      </c>
      <c r="M284">
        <v>0.74348313012830103</v>
      </c>
    </row>
    <row r="285" spans="1:25" x14ac:dyDescent="0.25">
      <c r="A285" t="str">
        <f t="shared" si="4"/>
        <v>2022_NSW_WaggaWagga_Lentil_DetailedTOSTOS2VarietyHallmarkXTWaterTrtRainFed</v>
      </c>
      <c r="B285">
        <v>2022007</v>
      </c>
      <c r="C285" t="s">
        <v>46</v>
      </c>
      <c r="D285">
        <v>2</v>
      </c>
      <c r="E285" t="s">
        <v>25</v>
      </c>
      <c r="F285" t="s">
        <v>131</v>
      </c>
      <c r="G285" t="s">
        <v>30</v>
      </c>
      <c r="I285">
        <v>2</v>
      </c>
      <c r="J285" t="s">
        <v>40</v>
      </c>
      <c r="K285" s="1">
        <v>44778</v>
      </c>
      <c r="L285">
        <v>12.6070167665035</v>
      </c>
      <c r="M285">
        <v>0.74348313012693301</v>
      </c>
    </row>
    <row r="286" spans="1:25" x14ac:dyDescent="0.25">
      <c r="A286" t="str">
        <f t="shared" si="4"/>
        <v>2022_NSW_WaggaWagga_Lentil_DetailedTOSTOS1VarietyJumbo2WaterTrtRainFed</v>
      </c>
      <c r="B286">
        <v>2022007</v>
      </c>
      <c r="C286" t="s">
        <v>46</v>
      </c>
      <c r="D286">
        <v>2</v>
      </c>
      <c r="E286" t="s">
        <v>25</v>
      </c>
      <c r="F286" t="s">
        <v>132</v>
      </c>
      <c r="G286" t="s">
        <v>30</v>
      </c>
      <c r="I286">
        <v>1</v>
      </c>
      <c r="J286" t="s">
        <v>39</v>
      </c>
      <c r="K286" s="1">
        <v>44722</v>
      </c>
      <c r="L286">
        <v>5.9829832335008</v>
      </c>
      <c r="M286">
        <v>0.74348313012753098</v>
      </c>
    </row>
    <row r="287" spans="1:25" x14ac:dyDescent="0.25">
      <c r="A287" t="str">
        <f t="shared" si="4"/>
        <v>2022_NSW_WaggaWagga_Lentil_DetailedTOSTOS2VarietyJumbo2WaterTrtRainFed</v>
      </c>
      <c r="B287">
        <v>2022007</v>
      </c>
      <c r="C287" t="s">
        <v>46</v>
      </c>
      <c r="D287">
        <v>2</v>
      </c>
      <c r="E287" t="s">
        <v>25</v>
      </c>
      <c r="F287" t="s">
        <v>132</v>
      </c>
      <c r="G287" t="s">
        <v>30</v>
      </c>
      <c r="I287">
        <v>2</v>
      </c>
      <c r="J287" t="s">
        <v>40</v>
      </c>
      <c r="K287" s="1">
        <v>44778</v>
      </c>
      <c r="L287">
        <v>13.385766766495999</v>
      </c>
      <c r="M287">
        <v>0.74348313012798495</v>
      </c>
    </row>
    <row r="288" spans="1:25" x14ac:dyDescent="0.25">
      <c r="A288" t="str">
        <f t="shared" si="4"/>
        <v>2022_NSW_WaggaWagga_Lentil_DetailedTOSTOS1VarietyKelpieXTWaterTrtRainFed</v>
      </c>
      <c r="B288">
        <v>2022007</v>
      </c>
      <c r="C288" t="s">
        <v>46</v>
      </c>
      <c r="D288">
        <v>2</v>
      </c>
      <c r="E288" t="s">
        <v>25</v>
      </c>
      <c r="F288" t="s">
        <v>133</v>
      </c>
      <c r="G288" t="s">
        <v>30</v>
      </c>
      <c r="I288">
        <v>1</v>
      </c>
      <c r="J288" t="s">
        <v>39</v>
      </c>
      <c r="K288" s="1">
        <v>44722</v>
      </c>
      <c r="L288">
        <v>6.0067332334996504</v>
      </c>
      <c r="M288">
        <v>0.74348313012753098</v>
      </c>
    </row>
    <row r="289" spans="1:13" x14ac:dyDescent="0.25">
      <c r="A289" t="str">
        <f t="shared" si="4"/>
        <v>2022_NSW_WaggaWagga_Lentil_DetailedTOSTOS2VarietyKelpieXTWaterTrtRainFed</v>
      </c>
      <c r="B289">
        <v>2022007</v>
      </c>
      <c r="C289" t="s">
        <v>46</v>
      </c>
      <c r="D289">
        <v>2</v>
      </c>
      <c r="E289" t="s">
        <v>25</v>
      </c>
      <c r="F289" t="s">
        <v>133</v>
      </c>
      <c r="G289" t="s">
        <v>30</v>
      </c>
      <c r="I289">
        <v>2</v>
      </c>
      <c r="J289" t="s">
        <v>40</v>
      </c>
      <c r="K289" s="1">
        <v>44778</v>
      </c>
      <c r="L289">
        <v>13.934516766495999</v>
      </c>
      <c r="M289">
        <v>0.74348313012798495</v>
      </c>
    </row>
    <row r="290" spans="1:13" x14ac:dyDescent="0.25">
      <c r="A290" t="str">
        <f t="shared" si="4"/>
        <v>2022_NSW_WaggaWagga_Lentil_DetailedTOSTOS1VarietyBoltWaterTrtRainFed</v>
      </c>
      <c r="B290">
        <v>2022007</v>
      </c>
      <c r="C290" t="s">
        <v>46</v>
      </c>
      <c r="D290">
        <v>3</v>
      </c>
      <c r="E290" t="s">
        <v>31</v>
      </c>
      <c r="F290" t="s">
        <v>130</v>
      </c>
      <c r="G290" t="s">
        <v>30</v>
      </c>
      <c r="I290">
        <v>1</v>
      </c>
      <c r="J290" t="s">
        <v>39</v>
      </c>
      <c r="K290" s="1">
        <v>44767</v>
      </c>
      <c r="L290">
        <v>47.561249664494703</v>
      </c>
      <c r="M290">
        <v>3.5812703917895901</v>
      </c>
    </row>
    <row r="291" spans="1:13" x14ac:dyDescent="0.25">
      <c r="A291" t="str">
        <f t="shared" si="4"/>
        <v>2022_NSW_WaggaWagga_Lentil_DetailedTOSTOS2VarietyBoltWaterTrtRainFed</v>
      </c>
      <c r="B291">
        <v>2022007</v>
      </c>
      <c r="C291" t="s">
        <v>46</v>
      </c>
      <c r="D291">
        <v>3</v>
      </c>
      <c r="E291" t="s">
        <v>31</v>
      </c>
      <c r="F291" t="s">
        <v>130</v>
      </c>
      <c r="G291" t="s">
        <v>30</v>
      </c>
      <c r="I291">
        <v>2</v>
      </c>
      <c r="J291" t="s">
        <v>40</v>
      </c>
      <c r="K291" s="1">
        <v>44809</v>
      </c>
      <c r="L291">
        <v>56.468750335501802</v>
      </c>
      <c r="M291">
        <v>3.5812703917859001</v>
      </c>
    </row>
    <row r="292" spans="1:13" x14ac:dyDescent="0.25">
      <c r="A292" t="str">
        <f t="shared" si="4"/>
        <v>2022_NSW_WaggaWagga_Lentil_DetailedTOSTOS1VarietyHallmarkXTWaterTrtRainFed</v>
      </c>
      <c r="B292">
        <v>2022007</v>
      </c>
      <c r="C292" t="s">
        <v>46</v>
      </c>
      <c r="D292">
        <v>3</v>
      </c>
      <c r="E292" t="s">
        <v>31</v>
      </c>
      <c r="F292" t="s">
        <v>131</v>
      </c>
      <c r="G292" t="s">
        <v>30</v>
      </c>
      <c r="I292">
        <v>1</v>
      </c>
      <c r="J292" t="s">
        <v>39</v>
      </c>
      <c r="K292" s="1">
        <v>44767</v>
      </c>
      <c r="L292">
        <v>46.603749582664101</v>
      </c>
      <c r="M292">
        <v>3.5812703917895901</v>
      </c>
    </row>
    <row r="293" spans="1:13" x14ac:dyDescent="0.25">
      <c r="A293" t="str">
        <f t="shared" si="4"/>
        <v>2022_NSW_WaggaWagga_Lentil_DetailedTOSTOS2VarietyHallmarkXTWaterTrtRainFed</v>
      </c>
      <c r="B293">
        <v>2022007</v>
      </c>
      <c r="C293" t="s">
        <v>46</v>
      </c>
      <c r="D293">
        <v>3</v>
      </c>
      <c r="E293" t="s">
        <v>31</v>
      </c>
      <c r="F293" t="s">
        <v>131</v>
      </c>
      <c r="G293" t="s">
        <v>30</v>
      </c>
      <c r="I293">
        <v>2</v>
      </c>
      <c r="J293" t="s">
        <v>40</v>
      </c>
      <c r="K293" s="1">
        <v>44809</v>
      </c>
      <c r="L293">
        <v>59.566250417345998</v>
      </c>
      <c r="M293">
        <v>3.5812703917859001</v>
      </c>
    </row>
    <row r="294" spans="1:13" x14ac:dyDescent="0.25">
      <c r="A294" t="str">
        <f t="shared" si="4"/>
        <v>2022_NSW_WaggaWagga_Lentil_DetailedTOSTOS1VarietyJumbo2WaterTrtRainFed</v>
      </c>
      <c r="B294">
        <v>2022007</v>
      </c>
      <c r="C294" t="s">
        <v>46</v>
      </c>
      <c r="D294">
        <v>3</v>
      </c>
      <c r="E294" t="s">
        <v>31</v>
      </c>
      <c r="F294" t="s">
        <v>132</v>
      </c>
      <c r="G294" t="s">
        <v>30</v>
      </c>
      <c r="I294">
        <v>1</v>
      </c>
      <c r="J294" t="s">
        <v>39</v>
      </c>
      <c r="K294" s="1">
        <v>44767</v>
      </c>
      <c r="L294">
        <v>51.202499582670697</v>
      </c>
      <c r="M294">
        <v>3.5812703917920601</v>
      </c>
    </row>
    <row r="295" spans="1:13" x14ac:dyDescent="0.25">
      <c r="A295" t="str">
        <f t="shared" si="4"/>
        <v>2022_NSW_WaggaWagga_Lentil_DetailedTOSTOS2VarietyJumbo2WaterTrtRainFed</v>
      </c>
      <c r="B295">
        <v>2022007</v>
      </c>
      <c r="C295" t="s">
        <v>46</v>
      </c>
      <c r="D295">
        <v>3</v>
      </c>
      <c r="E295" t="s">
        <v>31</v>
      </c>
      <c r="F295" t="s">
        <v>132</v>
      </c>
      <c r="G295" t="s">
        <v>30</v>
      </c>
      <c r="I295">
        <v>2</v>
      </c>
      <c r="J295" t="s">
        <v>40</v>
      </c>
      <c r="K295" s="1">
        <v>44809</v>
      </c>
      <c r="L295">
        <v>67.276250417326395</v>
      </c>
      <c r="M295">
        <v>3.58127039179328</v>
      </c>
    </row>
    <row r="296" spans="1:13" x14ac:dyDescent="0.25">
      <c r="A296" t="str">
        <f t="shared" si="4"/>
        <v>2022_NSW_WaggaWagga_Lentil_DetailedTOSTOS1VarietyKelpieXTWaterTrtRainFed</v>
      </c>
      <c r="B296">
        <v>2022007</v>
      </c>
      <c r="C296" t="s">
        <v>46</v>
      </c>
      <c r="D296">
        <v>3</v>
      </c>
      <c r="E296" t="s">
        <v>31</v>
      </c>
      <c r="F296" t="s">
        <v>133</v>
      </c>
      <c r="G296" t="s">
        <v>30</v>
      </c>
      <c r="I296">
        <v>1</v>
      </c>
      <c r="J296" t="s">
        <v>39</v>
      </c>
      <c r="K296" s="1">
        <v>44767</v>
      </c>
      <c r="L296">
        <v>41.891249582670703</v>
      </c>
      <c r="M296">
        <v>3.5812703917920601</v>
      </c>
    </row>
    <row r="297" spans="1:13" x14ac:dyDescent="0.25">
      <c r="A297" t="str">
        <f t="shared" si="4"/>
        <v>2022_NSW_WaggaWagga_Lentil_DetailedTOSTOS2VarietyKelpieXTWaterTrtRainFed</v>
      </c>
      <c r="B297">
        <v>2022007</v>
      </c>
      <c r="C297" t="s">
        <v>46</v>
      </c>
      <c r="D297">
        <v>3</v>
      </c>
      <c r="E297" t="s">
        <v>31</v>
      </c>
      <c r="F297" t="s">
        <v>133</v>
      </c>
      <c r="G297" t="s">
        <v>30</v>
      </c>
      <c r="I297">
        <v>2</v>
      </c>
      <c r="J297" t="s">
        <v>40</v>
      </c>
      <c r="K297" s="1">
        <v>44809</v>
      </c>
      <c r="L297">
        <v>56.4962504173265</v>
      </c>
      <c r="M297">
        <v>3.58127039179328</v>
      </c>
    </row>
    <row r="298" spans="1:13" x14ac:dyDescent="0.25">
      <c r="A298" t="str">
        <f t="shared" si="4"/>
        <v>2022_NSW_WaggaWagga_Lentil_DetailedTOSTOS1VarietyBoltWaterTrtRainFed</v>
      </c>
      <c r="B298">
        <v>2022007</v>
      </c>
      <c r="C298" t="s">
        <v>46</v>
      </c>
      <c r="D298">
        <v>4</v>
      </c>
      <c r="E298" t="s">
        <v>32</v>
      </c>
      <c r="F298" t="s">
        <v>130</v>
      </c>
      <c r="G298" t="s">
        <v>30</v>
      </c>
      <c r="I298">
        <v>1</v>
      </c>
      <c r="J298" t="s">
        <v>39</v>
      </c>
      <c r="K298" s="1">
        <v>44823</v>
      </c>
      <c r="L298">
        <v>451.90192383088498</v>
      </c>
      <c r="M298">
        <v>15.887185090929</v>
      </c>
    </row>
    <row r="299" spans="1:13" x14ac:dyDescent="0.25">
      <c r="A299" t="str">
        <f t="shared" si="4"/>
        <v>2022_NSW_WaggaWagga_Lentil_DetailedTOSTOS2VarietyBoltWaterTrtRainFed</v>
      </c>
      <c r="B299">
        <v>2022007</v>
      </c>
      <c r="C299" t="s">
        <v>46</v>
      </c>
      <c r="D299">
        <v>4</v>
      </c>
      <c r="E299" t="s">
        <v>32</v>
      </c>
      <c r="F299" t="s">
        <v>130</v>
      </c>
      <c r="G299" t="s">
        <v>30</v>
      </c>
      <c r="I299">
        <v>2</v>
      </c>
      <c r="J299" t="s">
        <v>40</v>
      </c>
      <c r="K299" s="1">
        <v>44830</v>
      </c>
      <c r="L299">
        <v>223.71432616912</v>
      </c>
      <c r="M299">
        <v>15.8871850909273</v>
      </c>
    </row>
    <row r="300" spans="1:13" x14ac:dyDescent="0.25">
      <c r="A300" t="str">
        <f t="shared" si="4"/>
        <v>2022_NSW_WaggaWagga_Lentil_DetailedTOSTOS1VarietyHallmarkXTWaterTrtRainFed</v>
      </c>
      <c r="B300">
        <v>2022007</v>
      </c>
      <c r="C300" t="s">
        <v>46</v>
      </c>
      <c r="D300">
        <v>4</v>
      </c>
      <c r="E300" t="s">
        <v>32</v>
      </c>
      <c r="F300" t="s">
        <v>131</v>
      </c>
      <c r="G300" t="s">
        <v>30</v>
      </c>
      <c r="I300">
        <v>1</v>
      </c>
      <c r="J300" t="s">
        <v>39</v>
      </c>
      <c r="K300" s="1">
        <v>44823</v>
      </c>
      <c r="L300">
        <v>491.99317367533899</v>
      </c>
      <c r="M300">
        <v>15.8871850909452</v>
      </c>
    </row>
    <row r="301" spans="1:13" x14ac:dyDescent="0.25">
      <c r="A301" t="str">
        <f t="shared" si="4"/>
        <v>2022_NSW_WaggaWagga_Lentil_DetailedTOSTOS2VarietyHallmarkXTWaterTrtRainFed</v>
      </c>
      <c r="B301">
        <v>2022007</v>
      </c>
      <c r="C301" t="s">
        <v>46</v>
      </c>
      <c r="D301">
        <v>4</v>
      </c>
      <c r="E301" t="s">
        <v>32</v>
      </c>
      <c r="F301" t="s">
        <v>131</v>
      </c>
      <c r="G301" t="s">
        <v>30</v>
      </c>
      <c r="I301">
        <v>2</v>
      </c>
      <c r="J301" t="s">
        <v>40</v>
      </c>
      <c r="K301" s="1">
        <v>44838</v>
      </c>
      <c r="L301">
        <v>352.45307632467302</v>
      </c>
      <c r="M301">
        <v>15.8871850909436</v>
      </c>
    </row>
    <row r="302" spans="1:13" x14ac:dyDescent="0.25">
      <c r="A302" t="str">
        <f t="shared" si="4"/>
        <v>2022_NSW_WaggaWagga_Lentil_DetailedTOSTOS1VarietyJumbo2WaterTrtRainFed</v>
      </c>
      <c r="B302">
        <v>2022007</v>
      </c>
      <c r="C302" t="s">
        <v>46</v>
      </c>
      <c r="D302">
        <v>4</v>
      </c>
      <c r="E302" t="s">
        <v>32</v>
      </c>
      <c r="F302" t="s">
        <v>132</v>
      </c>
      <c r="G302" t="s">
        <v>30</v>
      </c>
      <c r="I302">
        <v>1</v>
      </c>
      <c r="J302" t="s">
        <v>39</v>
      </c>
      <c r="K302" s="1">
        <v>44823</v>
      </c>
      <c r="L302">
        <v>489.13942367535799</v>
      </c>
      <c r="M302">
        <v>15.887185090948099</v>
      </c>
    </row>
    <row r="303" spans="1:13" x14ac:dyDescent="0.25">
      <c r="A303" t="str">
        <f t="shared" si="4"/>
        <v>2022_NSW_WaggaWagga_Lentil_DetailedTOSTOS2VarietyJumbo2WaterTrtRainFed</v>
      </c>
      <c r="B303">
        <v>2022007</v>
      </c>
      <c r="C303" t="s">
        <v>46</v>
      </c>
      <c r="D303">
        <v>4</v>
      </c>
      <c r="E303" t="s">
        <v>32</v>
      </c>
      <c r="F303" t="s">
        <v>132</v>
      </c>
      <c r="G303" t="s">
        <v>30</v>
      </c>
      <c r="I303">
        <v>2</v>
      </c>
      <c r="J303" t="s">
        <v>40</v>
      </c>
      <c r="K303" s="1">
        <v>44838</v>
      </c>
      <c r="L303">
        <v>392.09057632464197</v>
      </c>
      <c r="M303">
        <v>15.8871850909487</v>
      </c>
    </row>
    <row r="304" spans="1:13" x14ac:dyDescent="0.25">
      <c r="A304" t="str">
        <f t="shared" si="4"/>
        <v>2022_NSW_WaggaWagga_Lentil_DetailedTOSTOS1VarietyKelpieXTWaterTrtRainFed</v>
      </c>
      <c r="B304">
        <v>2022007</v>
      </c>
      <c r="C304" t="s">
        <v>46</v>
      </c>
      <c r="D304">
        <v>4</v>
      </c>
      <c r="E304" t="s">
        <v>32</v>
      </c>
      <c r="F304" t="s">
        <v>133</v>
      </c>
      <c r="G304" t="s">
        <v>30</v>
      </c>
      <c r="I304">
        <v>1</v>
      </c>
      <c r="J304" t="s">
        <v>39</v>
      </c>
      <c r="K304" s="1">
        <v>44811</v>
      </c>
      <c r="L304">
        <v>300.66067367535697</v>
      </c>
      <c r="M304">
        <v>15.887185090948099</v>
      </c>
    </row>
    <row r="305" spans="1:25" x14ac:dyDescent="0.25">
      <c r="A305" t="str">
        <f t="shared" si="4"/>
        <v>2022_NSW_WaggaWagga_Lentil_DetailedTOSTOS2VarietyKelpieXTWaterTrtRainFed</v>
      </c>
      <c r="B305">
        <v>2022007</v>
      </c>
      <c r="C305" t="s">
        <v>46</v>
      </c>
      <c r="D305">
        <v>4</v>
      </c>
      <c r="E305" t="s">
        <v>32</v>
      </c>
      <c r="F305" t="s">
        <v>133</v>
      </c>
      <c r="G305" t="s">
        <v>30</v>
      </c>
      <c r="I305">
        <v>2</v>
      </c>
      <c r="J305" t="s">
        <v>40</v>
      </c>
      <c r="K305" s="1">
        <v>44830</v>
      </c>
      <c r="L305">
        <v>194.440576324642</v>
      </c>
      <c r="M305">
        <v>15.8871850909487</v>
      </c>
    </row>
    <row r="306" spans="1:25" x14ac:dyDescent="0.25">
      <c r="A306" t="str">
        <f t="shared" si="4"/>
        <v>2022_NSW_WaggaWagga_Lentil_DetailedTOSTOS1VarietyBoltWaterTrtRainFed</v>
      </c>
      <c r="B306">
        <v>2022007</v>
      </c>
      <c r="C306" t="s">
        <v>46</v>
      </c>
      <c r="D306">
        <v>5</v>
      </c>
      <c r="E306" t="s">
        <v>33</v>
      </c>
      <c r="F306" t="s">
        <v>130</v>
      </c>
      <c r="G306" t="s">
        <v>30</v>
      </c>
      <c r="I306">
        <v>1</v>
      </c>
      <c r="J306" t="s">
        <v>39</v>
      </c>
      <c r="K306" s="1">
        <v>44845</v>
      </c>
      <c r="L306">
        <v>925.89551687062601</v>
      </c>
      <c r="M306">
        <v>41.5776597036729</v>
      </c>
    </row>
    <row r="307" spans="1:25" x14ac:dyDescent="0.25">
      <c r="A307" t="str">
        <f t="shared" si="4"/>
        <v>2022_NSW_WaggaWagga_Lentil_DetailedTOSTOS2VarietyBoltWaterTrtRainFed</v>
      </c>
      <c r="B307">
        <v>2022007</v>
      </c>
      <c r="C307" t="s">
        <v>46</v>
      </c>
      <c r="D307">
        <v>5</v>
      </c>
      <c r="E307" t="s">
        <v>33</v>
      </c>
      <c r="F307" t="s">
        <v>130</v>
      </c>
      <c r="G307" t="s">
        <v>30</v>
      </c>
      <c r="I307">
        <v>2</v>
      </c>
      <c r="J307" t="s">
        <v>40</v>
      </c>
      <c r="K307" s="1">
        <v>44869</v>
      </c>
      <c r="L307">
        <v>908.62573314946803</v>
      </c>
      <c r="M307">
        <v>41.577659704996897</v>
      </c>
    </row>
    <row r="308" spans="1:25" x14ac:dyDescent="0.25">
      <c r="A308" t="str">
        <f t="shared" si="4"/>
        <v>2022_NSW_WaggaWagga_Lentil_DetailedTOSTOS1VarietyHallmarkXTWaterTrtRainFed</v>
      </c>
      <c r="B308">
        <v>2022007</v>
      </c>
      <c r="C308" t="s">
        <v>46</v>
      </c>
      <c r="D308">
        <v>5</v>
      </c>
      <c r="E308" t="s">
        <v>33</v>
      </c>
      <c r="F308" t="s">
        <v>131</v>
      </c>
      <c r="G308" t="s">
        <v>30</v>
      </c>
      <c r="I308">
        <v>1</v>
      </c>
      <c r="J308" t="s">
        <v>39</v>
      </c>
      <c r="K308" s="1">
        <v>44861</v>
      </c>
      <c r="L308">
        <v>1380.2391068227701</v>
      </c>
      <c r="M308">
        <v>47.944950269563897</v>
      </c>
    </row>
    <row r="309" spans="1:25" x14ac:dyDescent="0.25">
      <c r="A309" t="str">
        <f t="shared" si="4"/>
        <v>2022_NSW_WaggaWagga_Lentil_DetailedTOSTOS2VarietyHallmarkXTWaterTrtRainFed</v>
      </c>
      <c r="B309">
        <v>2022007</v>
      </c>
      <c r="C309" t="s">
        <v>46</v>
      </c>
      <c r="D309">
        <v>5</v>
      </c>
      <c r="E309" t="s">
        <v>33</v>
      </c>
      <c r="F309" t="s">
        <v>131</v>
      </c>
      <c r="G309" t="s">
        <v>30</v>
      </c>
      <c r="I309">
        <v>2</v>
      </c>
      <c r="J309" t="s">
        <v>40</v>
      </c>
      <c r="K309" s="1">
        <v>44869</v>
      </c>
      <c r="L309">
        <v>1035.1869832048701</v>
      </c>
      <c r="M309">
        <v>41.577659704986303</v>
      </c>
    </row>
    <row r="310" spans="1:25" x14ac:dyDescent="0.25">
      <c r="A310" t="str">
        <f t="shared" si="4"/>
        <v>2022_NSW_WaggaWagga_Lentil_DetailedTOSTOS1VarietyJumbo2WaterTrtRainFed</v>
      </c>
      <c r="B310">
        <v>2022007</v>
      </c>
      <c r="C310" t="s">
        <v>46</v>
      </c>
      <c r="D310">
        <v>5</v>
      </c>
      <c r="E310" t="s">
        <v>33</v>
      </c>
      <c r="F310" t="s">
        <v>132</v>
      </c>
      <c r="G310" t="s">
        <v>30</v>
      </c>
      <c r="I310">
        <v>1</v>
      </c>
      <c r="J310" t="s">
        <v>39</v>
      </c>
      <c r="K310" s="1">
        <v>44861</v>
      </c>
      <c r="L310">
        <v>1077.8917668152301</v>
      </c>
      <c r="M310">
        <v>41.577659705427997</v>
      </c>
    </row>
    <row r="311" spans="1:25" x14ac:dyDescent="0.25">
      <c r="A311" t="str">
        <f t="shared" si="4"/>
        <v>2022_NSW_WaggaWagga_Lentil_DetailedTOSTOS2VarietyJumbo2WaterTrtRainFed</v>
      </c>
      <c r="B311">
        <v>2022007</v>
      </c>
      <c r="C311" t="s">
        <v>46</v>
      </c>
      <c r="D311">
        <v>5</v>
      </c>
      <c r="E311" t="s">
        <v>33</v>
      </c>
      <c r="F311" t="s">
        <v>132</v>
      </c>
      <c r="G311" t="s">
        <v>30</v>
      </c>
      <c r="I311">
        <v>2</v>
      </c>
      <c r="J311" t="s">
        <v>40</v>
      </c>
      <c r="K311" s="1">
        <v>44869</v>
      </c>
      <c r="L311">
        <v>950.42448320485596</v>
      </c>
      <c r="M311">
        <v>41.577659704986701</v>
      </c>
    </row>
    <row r="312" spans="1:25" x14ac:dyDescent="0.25">
      <c r="A312" t="str">
        <f t="shared" si="4"/>
        <v>2022_NSW_WaggaWagga_Lentil_DetailedTOSTOS1VarietyKelpieXTWaterTrtRainFed</v>
      </c>
      <c r="B312">
        <v>2022007</v>
      </c>
      <c r="C312" t="s">
        <v>46</v>
      </c>
      <c r="D312">
        <v>5</v>
      </c>
      <c r="E312" t="s">
        <v>33</v>
      </c>
      <c r="F312" t="s">
        <v>133</v>
      </c>
      <c r="G312" t="s">
        <v>30</v>
      </c>
      <c r="I312">
        <v>1</v>
      </c>
      <c r="J312" t="s">
        <v>39</v>
      </c>
      <c r="K312" s="1">
        <v>44845</v>
      </c>
      <c r="L312">
        <v>784.61426681523506</v>
      </c>
      <c r="M312">
        <v>41.577659705427997</v>
      </c>
    </row>
    <row r="313" spans="1:25" x14ac:dyDescent="0.25">
      <c r="A313" t="str">
        <f t="shared" si="4"/>
        <v>2022_NSW_WaggaWagga_Lentil_DetailedTOSTOS2VarietyKelpieXTWaterTrtRainFed</v>
      </c>
      <c r="B313">
        <v>2022007</v>
      </c>
      <c r="C313" t="s">
        <v>46</v>
      </c>
      <c r="D313">
        <v>5</v>
      </c>
      <c r="E313" t="s">
        <v>33</v>
      </c>
      <c r="F313" t="s">
        <v>133</v>
      </c>
      <c r="G313" t="s">
        <v>30</v>
      </c>
      <c r="I313">
        <v>2</v>
      </c>
      <c r="J313" t="s">
        <v>40</v>
      </c>
      <c r="K313" s="1">
        <v>44861</v>
      </c>
      <c r="L313">
        <v>777.33698320485598</v>
      </c>
      <c r="M313">
        <v>41.577659704986701</v>
      </c>
    </row>
    <row r="314" spans="1:25" x14ac:dyDescent="0.25">
      <c r="A314" t="str">
        <f t="shared" si="4"/>
        <v>2022_NSW_WaggaWagga_Lentil_DetailedTOSTOS1VarietyBoltWaterTrtRainFed</v>
      </c>
      <c r="B314">
        <v>2022007</v>
      </c>
      <c r="C314" t="s">
        <v>46</v>
      </c>
      <c r="D314">
        <v>6</v>
      </c>
      <c r="E314" t="s">
        <v>34</v>
      </c>
      <c r="F314" t="s">
        <v>130</v>
      </c>
      <c r="G314" t="s">
        <v>30</v>
      </c>
      <c r="I314">
        <v>1</v>
      </c>
      <c r="J314" t="s">
        <v>39</v>
      </c>
      <c r="K314" s="1">
        <v>44904</v>
      </c>
      <c r="L314">
        <v>954.944897661254</v>
      </c>
      <c r="M314">
        <v>51.476423301117897</v>
      </c>
      <c r="N314">
        <v>0.27500000000000002</v>
      </c>
      <c r="O314">
        <v>1.4999999999999999E-2</v>
      </c>
      <c r="P314">
        <v>7989</v>
      </c>
      <c r="Q314">
        <v>1700</v>
      </c>
      <c r="T314">
        <v>11554</v>
      </c>
      <c r="U314">
        <v>710</v>
      </c>
      <c r="X314">
        <v>262</v>
      </c>
      <c r="Y314">
        <v>21</v>
      </c>
    </row>
    <row r="315" spans="1:25" x14ac:dyDescent="0.25">
      <c r="A315" t="str">
        <f t="shared" si="4"/>
        <v>2022_NSW_WaggaWagga_Lentil_DetailedTOSTOS2VarietyBoltWaterTrtRainFed</v>
      </c>
      <c r="B315">
        <v>2022007</v>
      </c>
      <c r="C315" t="s">
        <v>46</v>
      </c>
      <c r="D315">
        <v>6</v>
      </c>
      <c r="E315" t="s">
        <v>34</v>
      </c>
      <c r="F315" t="s">
        <v>130</v>
      </c>
      <c r="G315" t="s">
        <v>30</v>
      </c>
      <c r="I315">
        <v>2</v>
      </c>
      <c r="J315" t="s">
        <v>40</v>
      </c>
      <c r="K315" s="1">
        <v>44914</v>
      </c>
      <c r="L315">
        <v>954.42885233872198</v>
      </c>
      <c r="M315">
        <v>51.476423301117897</v>
      </c>
      <c r="N315">
        <v>0.308</v>
      </c>
      <c r="O315">
        <v>1.4999999999999999E-2</v>
      </c>
      <c r="P315">
        <v>13314</v>
      </c>
      <c r="Q315">
        <v>1700</v>
      </c>
      <c r="T315">
        <v>13928</v>
      </c>
      <c r="U315">
        <v>1000</v>
      </c>
      <c r="X315">
        <v>292</v>
      </c>
      <c r="Y315">
        <v>21</v>
      </c>
    </row>
    <row r="316" spans="1:25" x14ac:dyDescent="0.25">
      <c r="A316" t="str">
        <f t="shared" si="4"/>
        <v>2022_NSW_WaggaWagga_Lentil_DetailedTOSTOS1VarietyHallmarkXTWaterTrtRainFed</v>
      </c>
      <c r="B316">
        <v>2022007</v>
      </c>
      <c r="C316" t="s">
        <v>46</v>
      </c>
      <c r="D316">
        <v>6</v>
      </c>
      <c r="E316" t="s">
        <v>34</v>
      </c>
      <c r="F316" t="s">
        <v>131</v>
      </c>
      <c r="G316" t="s">
        <v>30</v>
      </c>
      <c r="I316">
        <v>1</v>
      </c>
      <c r="J316" t="s">
        <v>39</v>
      </c>
      <c r="K316" s="1">
        <v>44904</v>
      </c>
      <c r="L316">
        <v>886.518457966494</v>
      </c>
      <c r="M316">
        <v>53.997200732522501</v>
      </c>
      <c r="N316">
        <v>0.254</v>
      </c>
      <c r="O316">
        <v>1.6E-2</v>
      </c>
      <c r="P316">
        <v>6802</v>
      </c>
      <c r="Q316">
        <v>1800</v>
      </c>
      <c r="T316">
        <v>10652</v>
      </c>
      <c r="U316">
        <v>750</v>
      </c>
      <c r="X316">
        <v>228</v>
      </c>
      <c r="Y316">
        <v>22</v>
      </c>
    </row>
    <row r="317" spans="1:25" x14ac:dyDescent="0.25">
      <c r="A317" t="str">
        <f t="shared" si="4"/>
        <v>2022_NSW_WaggaWagga_Lentil_DetailedTOSTOS2VarietyHallmarkXTWaterTrtRainFed</v>
      </c>
      <c r="B317">
        <v>2022007</v>
      </c>
      <c r="C317" t="s">
        <v>46</v>
      </c>
      <c r="D317">
        <v>6</v>
      </c>
      <c r="E317" t="s">
        <v>34</v>
      </c>
      <c r="F317" t="s">
        <v>131</v>
      </c>
      <c r="G317" t="s">
        <v>30</v>
      </c>
      <c r="I317">
        <v>2</v>
      </c>
      <c r="J317" t="s">
        <v>40</v>
      </c>
      <c r="K317" s="1">
        <v>44914</v>
      </c>
      <c r="L317">
        <v>842.34635234160396</v>
      </c>
      <c r="M317">
        <v>51.476423301117897</v>
      </c>
      <c r="N317">
        <v>0.35799999999999998</v>
      </c>
      <c r="O317">
        <v>1.4999999999999999E-2</v>
      </c>
      <c r="P317">
        <v>10119</v>
      </c>
      <c r="Q317">
        <v>1700</v>
      </c>
      <c r="T317">
        <v>10614</v>
      </c>
      <c r="U317">
        <v>1000</v>
      </c>
      <c r="X317">
        <v>297</v>
      </c>
      <c r="Y317">
        <v>21</v>
      </c>
    </row>
    <row r="318" spans="1:25" x14ac:dyDescent="0.25">
      <c r="A318" t="str">
        <f t="shared" si="4"/>
        <v>2022_NSW_WaggaWagga_Lentil_DetailedTOSTOS1VarietyJumbo2WaterTrtRainFed</v>
      </c>
      <c r="B318">
        <v>2022007</v>
      </c>
      <c r="C318" t="s">
        <v>46</v>
      </c>
      <c r="D318">
        <v>6</v>
      </c>
      <c r="E318" t="s">
        <v>34</v>
      </c>
      <c r="F318" t="s">
        <v>132</v>
      </c>
      <c r="G318" t="s">
        <v>30</v>
      </c>
      <c r="I318">
        <v>1</v>
      </c>
      <c r="J318" t="s">
        <v>39</v>
      </c>
      <c r="K318" s="1">
        <v>44904</v>
      </c>
      <c r="L318">
        <v>718.38239765837602</v>
      </c>
      <c r="M318">
        <v>51.476423301117897</v>
      </c>
      <c r="N318">
        <v>0.27200000000000002</v>
      </c>
      <c r="O318">
        <v>1.4999999999999999E-2</v>
      </c>
      <c r="P318">
        <v>6678</v>
      </c>
      <c r="Q318">
        <v>1700</v>
      </c>
      <c r="T318">
        <v>7577</v>
      </c>
      <c r="U318">
        <v>710</v>
      </c>
      <c r="X318">
        <v>199</v>
      </c>
      <c r="Y318">
        <v>21</v>
      </c>
    </row>
    <row r="319" spans="1:25" x14ac:dyDescent="0.25">
      <c r="A319" t="str">
        <f t="shared" si="4"/>
        <v>2022_NSW_WaggaWagga_Lentil_DetailedTOSTOS2VarietyJumbo2WaterTrtRainFed</v>
      </c>
      <c r="B319">
        <v>2022007</v>
      </c>
      <c r="C319" t="s">
        <v>46</v>
      </c>
      <c r="D319">
        <v>6</v>
      </c>
      <c r="E319" t="s">
        <v>34</v>
      </c>
      <c r="F319" t="s">
        <v>132</v>
      </c>
      <c r="G319" t="s">
        <v>30</v>
      </c>
      <c r="I319">
        <v>2</v>
      </c>
      <c r="J319" t="s">
        <v>40</v>
      </c>
      <c r="K319" s="1">
        <v>44914</v>
      </c>
      <c r="L319">
        <v>771.61635234159701</v>
      </c>
      <c r="M319">
        <v>51.476423301117897</v>
      </c>
      <c r="N319">
        <v>0.317</v>
      </c>
      <c r="O319">
        <v>1.4999999999999999E-2</v>
      </c>
      <c r="P319">
        <v>7725</v>
      </c>
      <c r="Q319">
        <v>1700</v>
      </c>
      <c r="T319">
        <v>9611</v>
      </c>
      <c r="U319">
        <v>1000</v>
      </c>
      <c r="X319">
        <v>240</v>
      </c>
      <c r="Y319">
        <v>21</v>
      </c>
    </row>
    <row r="320" spans="1:25" x14ac:dyDescent="0.25">
      <c r="A320" t="str">
        <f t="shared" si="4"/>
        <v>2022_NSW_WaggaWagga_Lentil_DetailedTOSTOS1VarietyKelpieXTWaterTrtRainFed</v>
      </c>
      <c r="B320">
        <v>2022007</v>
      </c>
      <c r="C320" t="s">
        <v>46</v>
      </c>
      <c r="D320">
        <v>6</v>
      </c>
      <c r="E320" t="s">
        <v>34</v>
      </c>
      <c r="F320" t="s">
        <v>133</v>
      </c>
      <c r="G320" t="s">
        <v>30</v>
      </c>
      <c r="I320">
        <v>1</v>
      </c>
      <c r="J320" t="s">
        <v>39</v>
      </c>
      <c r="K320" s="1">
        <v>44904</v>
      </c>
      <c r="L320">
        <v>699.21739765837503</v>
      </c>
      <c r="M320">
        <v>51.476423301117897</v>
      </c>
      <c r="N320">
        <v>0.31</v>
      </c>
      <c r="O320">
        <v>1.4999999999999999E-2</v>
      </c>
      <c r="P320">
        <v>5513</v>
      </c>
      <c r="Q320">
        <v>1800</v>
      </c>
      <c r="T320">
        <v>7634</v>
      </c>
      <c r="U320">
        <v>710</v>
      </c>
      <c r="X320">
        <v>222</v>
      </c>
      <c r="Y320">
        <v>21</v>
      </c>
    </row>
    <row r="321" spans="1:25" x14ac:dyDescent="0.25">
      <c r="A321" t="str">
        <f t="shared" si="4"/>
        <v>2022_NSW_WaggaWagga_Lentil_DetailedTOSTOS2VarietyKelpieXTWaterTrtRainFed</v>
      </c>
      <c r="B321">
        <v>2022007</v>
      </c>
      <c r="C321" t="s">
        <v>46</v>
      </c>
      <c r="D321">
        <v>6</v>
      </c>
      <c r="E321" t="s">
        <v>34</v>
      </c>
      <c r="F321" t="s">
        <v>133</v>
      </c>
      <c r="G321" t="s">
        <v>30</v>
      </c>
      <c r="I321">
        <v>2</v>
      </c>
      <c r="J321" t="s">
        <v>40</v>
      </c>
      <c r="K321" s="1">
        <v>44914</v>
      </c>
      <c r="L321">
        <v>899.11760234159703</v>
      </c>
      <c r="M321">
        <v>51.476423301117897</v>
      </c>
      <c r="N321">
        <v>0.39900000000000002</v>
      </c>
      <c r="O321">
        <v>1.4999999999999999E-2</v>
      </c>
      <c r="P321">
        <v>10506</v>
      </c>
      <c r="Q321">
        <v>1700</v>
      </c>
      <c r="T321">
        <v>10826</v>
      </c>
      <c r="U321">
        <v>1000</v>
      </c>
      <c r="X321">
        <v>358</v>
      </c>
      <c r="Y321">
        <v>21</v>
      </c>
    </row>
    <row r="322" spans="1:25" hidden="1" x14ac:dyDescent="0.25">
      <c r="A322" t="str">
        <f t="shared" si="4"/>
        <v>2022_WA_Deepdale_Chickpea_SatelliteTOSTOS1VarietyCBA_CaptainWaterTrtRainFed</v>
      </c>
      <c r="B322">
        <v>2022008</v>
      </c>
      <c r="C322" t="s">
        <v>47</v>
      </c>
      <c r="D322">
        <v>6</v>
      </c>
      <c r="E322" t="s">
        <v>34</v>
      </c>
      <c r="F322" t="s">
        <v>26</v>
      </c>
      <c r="G322" t="s">
        <v>30</v>
      </c>
      <c r="I322">
        <v>1</v>
      </c>
      <c r="J322" t="s">
        <v>48</v>
      </c>
      <c r="K322" s="1">
        <v>44861</v>
      </c>
      <c r="L322">
        <v>1144.8</v>
      </c>
      <c r="M322">
        <v>100</v>
      </c>
      <c r="N322">
        <v>0.2</v>
      </c>
      <c r="O322">
        <v>2.1999999999999999E-2</v>
      </c>
      <c r="T322">
        <v>1035.0999999999999</v>
      </c>
      <c r="U322">
        <v>140</v>
      </c>
      <c r="V322">
        <v>194.8</v>
      </c>
      <c r="W322">
        <v>2.6</v>
      </c>
      <c r="X322">
        <v>200</v>
      </c>
      <c r="Y322">
        <v>28</v>
      </c>
    </row>
    <row r="323" spans="1:25" hidden="1" x14ac:dyDescent="0.25">
      <c r="A323" t="str">
        <f t="shared" ref="A323:A386" si="5">C323&amp;"TOSTOS"&amp;I323&amp;"Variety"&amp;F323&amp;"WaterTrt"&amp;G323&amp;IF(H323="","","Agronomy"&amp;H323)</f>
        <v>2022_WA_Deepdale_Chickpea_SatelliteTOSTOS2VarietyCBA_CaptainWaterTrtRainFed</v>
      </c>
      <c r="B323">
        <v>2022008</v>
      </c>
      <c r="C323" t="s">
        <v>47</v>
      </c>
      <c r="D323">
        <v>6</v>
      </c>
      <c r="E323" t="s">
        <v>34</v>
      </c>
      <c r="F323" t="s">
        <v>26</v>
      </c>
      <c r="G323" t="s">
        <v>30</v>
      </c>
      <c r="I323">
        <v>2</v>
      </c>
      <c r="J323" t="s">
        <v>49</v>
      </c>
      <c r="K323" s="1">
        <v>44861</v>
      </c>
      <c r="L323">
        <v>1218</v>
      </c>
      <c r="M323">
        <v>91</v>
      </c>
      <c r="N323">
        <v>0.3</v>
      </c>
      <c r="O323">
        <v>0.02</v>
      </c>
      <c r="T323">
        <v>1535.2</v>
      </c>
      <c r="U323">
        <v>120</v>
      </c>
      <c r="V323">
        <v>196.3</v>
      </c>
      <c r="W323">
        <v>2.6</v>
      </c>
      <c r="X323">
        <v>306</v>
      </c>
      <c r="Y323">
        <v>23</v>
      </c>
    </row>
    <row r="324" spans="1:25" hidden="1" x14ac:dyDescent="0.25">
      <c r="A324" t="str">
        <f t="shared" si="5"/>
        <v>2022_WA_Deepdale_Chickpea_SatelliteTOSTOS3VarietyCBA_CaptainWaterTrtRainFed</v>
      </c>
      <c r="B324">
        <v>2022008</v>
      </c>
      <c r="C324" t="s">
        <v>47</v>
      </c>
      <c r="D324">
        <v>6</v>
      </c>
      <c r="E324" t="s">
        <v>34</v>
      </c>
      <c r="F324" t="s">
        <v>26</v>
      </c>
      <c r="G324" t="s">
        <v>30</v>
      </c>
      <c r="I324">
        <v>3</v>
      </c>
      <c r="J324" t="s">
        <v>50</v>
      </c>
      <c r="K324" s="1">
        <v>44861</v>
      </c>
      <c r="L324">
        <v>908.5</v>
      </c>
      <c r="M324">
        <v>80</v>
      </c>
      <c r="N324">
        <v>0.3</v>
      </c>
      <c r="O324">
        <v>3.1E-2</v>
      </c>
      <c r="T324">
        <v>1256.5</v>
      </c>
      <c r="U324">
        <v>120</v>
      </c>
      <c r="V324">
        <v>201.8</v>
      </c>
      <c r="W324">
        <v>2.6</v>
      </c>
      <c r="X324">
        <v>258</v>
      </c>
      <c r="Y324">
        <v>29</v>
      </c>
    </row>
    <row r="325" spans="1:25" hidden="1" x14ac:dyDescent="0.25">
      <c r="A325" t="str">
        <f t="shared" si="5"/>
        <v>2022_WA_Deepdale_Chickpea_SatelliteTOSTOS4VarietyCBA_CaptainWaterTrtRainFed</v>
      </c>
      <c r="B325">
        <v>2022008</v>
      </c>
      <c r="C325" t="s">
        <v>47</v>
      </c>
      <c r="D325">
        <v>6</v>
      </c>
      <c r="E325" t="s">
        <v>34</v>
      </c>
      <c r="F325" t="s">
        <v>26</v>
      </c>
      <c r="G325" t="s">
        <v>30</v>
      </c>
      <c r="I325">
        <v>4</v>
      </c>
      <c r="J325" t="s">
        <v>51</v>
      </c>
      <c r="K325" s="1">
        <v>44861</v>
      </c>
      <c r="L325">
        <v>797.5</v>
      </c>
      <c r="M325">
        <v>76</v>
      </c>
      <c r="N325">
        <v>0.4</v>
      </c>
      <c r="O325">
        <v>2.5000000000000001E-2</v>
      </c>
      <c r="T325">
        <v>1375.2</v>
      </c>
      <c r="U325">
        <v>120</v>
      </c>
      <c r="V325">
        <v>201.7</v>
      </c>
      <c r="W325">
        <v>2.6</v>
      </c>
      <c r="X325">
        <v>278</v>
      </c>
      <c r="Y325">
        <v>20</v>
      </c>
    </row>
    <row r="326" spans="1:25" hidden="1" x14ac:dyDescent="0.25">
      <c r="A326" t="str">
        <f t="shared" si="5"/>
        <v>2022_WA_Deepdale_Chickpea_SatelliteTOSTOS1VarietyD11006_13F3HRMT4PR0004WaterTrtRainFed</v>
      </c>
      <c r="B326">
        <v>2022008</v>
      </c>
      <c r="C326" t="s">
        <v>47</v>
      </c>
      <c r="D326">
        <v>6</v>
      </c>
      <c r="E326" t="s">
        <v>34</v>
      </c>
      <c r="F326" t="s">
        <v>52</v>
      </c>
      <c r="G326" t="s">
        <v>30</v>
      </c>
      <c r="I326">
        <v>1</v>
      </c>
      <c r="J326" t="s">
        <v>48</v>
      </c>
      <c r="K326" s="1">
        <v>44854</v>
      </c>
      <c r="L326">
        <v>1081.3</v>
      </c>
      <c r="M326">
        <v>100</v>
      </c>
      <c r="N326">
        <v>0.2</v>
      </c>
      <c r="O326">
        <v>2.1000000000000001E-2</v>
      </c>
      <c r="T326">
        <v>1023</v>
      </c>
      <c r="U326">
        <v>120</v>
      </c>
      <c r="V326">
        <v>179.8</v>
      </c>
      <c r="W326">
        <v>3.4</v>
      </c>
      <c r="X326">
        <v>182</v>
      </c>
      <c r="Y326">
        <v>25</v>
      </c>
    </row>
    <row r="327" spans="1:25" hidden="1" x14ac:dyDescent="0.25">
      <c r="A327" t="str">
        <f t="shared" si="5"/>
        <v>2022_WA_Deepdale_Chickpea_SatelliteTOSTOS2VarietyD11006_13F3HRMT4PR0004WaterTrtRainFed</v>
      </c>
      <c r="B327">
        <v>2022008</v>
      </c>
      <c r="C327" t="s">
        <v>47</v>
      </c>
      <c r="D327">
        <v>6</v>
      </c>
      <c r="E327" t="s">
        <v>34</v>
      </c>
      <c r="F327" t="s">
        <v>52</v>
      </c>
      <c r="G327" t="s">
        <v>30</v>
      </c>
      <c r="I327">
        <v>2</v>
      </c>
      <c r="J327" t="s">
        <v>49</v>
      </c>
      <c r="K327" s="1">
        <v>44854</v>
      </c>
      <c r="L327">
        <v>999.3</v>
      </c>
      <c r="M327">
        <v>91</v>
      </c>
      <c r="N327">
        <v>0.2</v>
      </c>
      <c r="O327">
        <v>0.02</v>
      </c>
      <c r="T327">
        <v>945.2</v>
      </c>
      <c r="U327">
        <v>120</v>
      </c>
      <c r="V327">
        <v>184.5</v>
      </c>
      <c r="W327">
        <v>3.4</v>
      </c>
      <c r="X327">
        <v>174</v>
      </c>
      <c r="Y327">
        <v>23</v>
      </c>
    </row>
    <row r="328" spans="1:25" hidden="1" x14ac:dyDescent="0.25">
      <c r="A328" t="str">
        <f t="shared" si="5"/>
        <v>2022_WA_Deepdale_Chickpea_SatelliteTOSTOS3VarietyD11006_13F3HRMT4PR0004WaterTrtRainFed</v>
      </c>
      <c r="B328">
        <v>2022008</v>
      </c>
      <c r="C328" t="s">
        <v>47</v>
      </c>
      <c r="D328">
        <v>6</v>
      </c>
      <c r="E328" t="s">
        <v>34</v>
      </c>
      <c r="F328" t="s">
        <v>52</v>
      </c>
      <c r="G328" t="s">
        <v>30</v>
      </c>
      <c r="I328">
        <v>3</v>
      </c>
      <c r="J328" t="s">
        <v>50</v>
      </c>
      <c r="K328" s="1">
        <v>44854</v>
      </c>
      <c r="L328">
        <v>901</v>
      </c>
      <c r="M328">
        <v>80</v>
      </c>
      <c r="N328">
        <v>0.3</v>
      </c>
      <c r="O328">
        <v>3.1E-2</v>
      </c>
      <c r="T328">
        <v>1305.5</v>
      </c>
      <c r="U328">
        <v>120</v>
      </c>
      <c r="V328">
        <v>189.4</v>
      </c>
      <c r="W328">
        <v>3.4</v>
      </c>
      <c r="X328">
        <v>248</v>
      </c>
      <c r="Y328">
        <v>29</v>
      </c>
    </row>
    <row r="329" spans="1:25" hidden="1" x14ac:dyDescent="0.25">
      <c r="A329" t="str">
        <f t="shared" si="5"/>
        <v>2022_WA_Deepdale_Chickpea_SatelliteTOSTOS4VarietyD11006_13F3HRMT4PR0004WaterTrtRainFed</v>
      </c>
      <c r="B329">
        <v>2022008</v>
      </c>
      <c r="C329" t="s">
        <v>47</v>
      </c>
      <c r="D329">
        <v>6</v>
      </c>
      <c r="E329" t="s">
        <v>34</v>
      </c>
      <c r="F329" t="s">
        <v>52</v>
      </c>
      <c r="G329" t="s">
        <v>30</v>
      </c>
      <c r="I329">
        <v>4</v>
      </c>
      <c r="J329" t="s">
        <v>51</v>
      </c>
      <c r="K329" s="1">
        <v>44854</v>
      </c>
      <c r="L329">
        <v>825.5</v>
      </c>
      <c r="M329">
        <v>76</v>
      </c>
      <c r="N329">
        <v>0.3</v>
      </c>
      <c r="O329">
        <v>2.5000000000000001E-2</v>
      </c>
      <c r="T329">
        <v>1357.5</v>
      </c>
      <c r="U329">
        <v>120</v>
      </c>
      <c r="V329">
        <v>195.3</v>
      </c>
      <c r="W329">
        <v>3.4</v>
      </c>
      <c r="X329">
        <v>265</v>
      </c>
      <c r="Y329">
        <v>20</v>
      </c>
    </row>
    <row r="330" spans="1:25" hidden="1" x14ac:dyDescent="0.25">
      <c r="A330" t="str">
        <f t="shared" si="5"/>
        <v>2022_WA_Deepdale_Chickpea_SatelliteTOSTOS1VarietyD12014_14F3TMWR2AB001WaterTrtRainFed</v>
      </c>
      <c r="B330">
        <v>2022008</v>
      </c>
      <c r="C330" t="s">
        <v>47</v>
      </c>
      <c r="D330">
        <v>6</v>
      </c>
      <c r="E330" t="s">
        <v>34</v>
      </c>
      <c r="F330" t="s">
        <v>53</v>
      </c>
      <c r="G330" t="s">
        <v>30</v>
      </c>
      <c r="I330">
        <v>1</v>
      </c>
      <c r="J330" t="s">
        <v>48</v>
      </c>
      <c r="K330" s="1">
        <v>44853</v>
      </c>
      <c r="L330">
        <v>1018.8</v>
      </c>
      <c r="M330">
        <v>100</v>
      </c>
      <c r="N330">
        <v>0.2</v>
      </c>
      <c r="O330">
        <v>2.1000000000000001E-2</v>
      </c>
      <c r="T330">
        <v>1034.5</v>
      </c>
      <c r="U330">
        <v>120</v>
      </c>
      <c r="V330">
        <v>186.3</v>
      </c>
      <c r="W330">
        <v>3.4</v>
      </c>
      <c r="X330">
        <v>191</v>
      </c>
      <c r="Y330">
        <v>25</v>
      </c>
    </row>
    <row r="331" spans="1:25" hidden="1" x14ac:dyDescent="0.25">
      <c r="A331" t="str">
        <f t="shared" si="5"/>
        <v>2022_WA_Deepdale_Chickpea_SatelliteTOSTOS2VarietyD12014_14F3TMWR2AB001WaterTrtRainFed</v>
      </c>
      <c r="B331">
        <v>2022008</v>
      </c>
      <c r="C331" t="s">
        <v>47</v>
      </c>
      <c r="D331">
        <v>6</v>
      </c>
      <c r="E331" t="s">
        <v>34</v>
      </c>
      <c r="F331" t="s">
        <v>53</v>
      </c>
      <c r="G331" t="s">
        <v>30</v>
      </c>
      <c r="I331">
        <v>2</v>
      </c>
      <c r="J331" t="s">
        <v>49</v>
      </c>
      <c r="K331" s="1">
        <v>44853</v>
      </c>
      <c r="L331">
        <v>1072</v>
      </c>
      <c r="M331">
        <v>91</v>
      </c>
      <c r="N331">
        <v>0.2</v>
      </c>
      <c r="O331">
        <v>0.02</v>
      </c>
      <c r="T331">
        <v>947.2</v>
      </c>
      <c r="U331">
        <v>120</v>
      </c>
      <c r="V331">
        <v>192.5</v>
      </c>
      <c r="W331">
        <v>3.4</v>
      </c>
      <c r="X331">
        <v>182</v>
      </c>
      <c r="Y331">
        <v>23</v>
      </c>
    </row>
    <row r="332" spans="1:25" hidden="1" x14ac:dyDescent="0.25">
      <c r="A332" t="str">
        <f t="shared" si="5"/>
        <v>2022_WA_Deepdale_Chickpea_SatelliteTOSTOS3VarietyD12014_14F3TMWR2AB001WaterTrtRainFed</v>
      </c>
      <c r="B332">
        <v>2022008</v>
      </c>
      <c r="C332" t="s">
        <v>47</v>
      </c>
      <c r="D332">
        <v>6</v>
      </c>
      <c r="E332" t="s">
        <v>34</v>
      </c>
      <c r="F332" t="s">
        <v>53</v>
      </c>
      <c r="G332" t="s">
        <v>30</v>
      </c>
      <c r="I332">
        <v>3</v>
      </c>
      <c r="J332" t="s">
        <v>50</v>
      </c>
      <c r="K332" s="1">
        <v>44853</v>
      </c>
      <c r="L332">
        <v>902.5</v>
      </c>
      <c r="M332">
        <v>80</v>
      </c>
      <c r="N332">
        <v>0.3</v>
      </c>
      <c r="O332">
        <v>3.1E-2</v>
      </c>
      <c r="T332">
        <v>1109</v>
      </c>
      <c r="U332">
        <v>120</v>
      </c>
      <c r="V332">
        <v>199</v>
      </c>
      <c r="W332">
        <v>3.4</v>
      </c>
      <c r="X332">
        <v>221</v>
      </c>
      <c r="Y332">
        <v>29</v>
      </c>
    </row>
    <row r="333" spans="1:25" hidden="1" x14ac:dyDescent="0.25">
      <c r="A333" t="str">
        <f t="shared" si="5"/>
        <v>2022_WA_Deepdale_Chickpea_SatelliteTOSTOS4VarietyD12014_14F3TMWR2AB001WaterTrtRainFed</v>
      </c>
      <c r="B333">
        <v>2022008</v>
      </c>
      <c r="C333" t="s">
        <v>47</v>
      </c>
      <c r="D333">
        <v>6</v>
      </c>
      <c r="E333" t="s">
        <v>34</v>
      </c>
      <c r="F333" t="s">
        <v>53</v>
      </c>
      <c r="G333" t="s">
        <v>30</v>
      </c>
      <c r="I333">
        <v>4</v>
      </c>
      <c r="J333" t="s">
        <v>51</v>
      </c>
      <c r="K333" s="1">
        <v>44853</v>
      </c>
      <c r="L333">
        <v>793</v>
      </c>
      <c r="M333">
        <v>76</v>
      </c>
      <c r="N333">
        <v>0.3</v>
      </c>
      <c r="O333">
        <v>2.5000000000000001E-2</v>
      </c>
      <c r="T333">
        <v>1098.5</v>
      </c>
      <c r="U333">
        <v>120</v>
      </c>
      <c r="V333">
        <v>199.8</v>
      </c>
      <c r="W333">
        <v>3.4</v>
      </c>
      <c r="X333">
        <v>219</v>
      </c>
      <c r="Y333">
        <v>20</v>
      </c>
    </row>
    <row r="334" spans="1:25" hidden="1" x14ac:dyDescent="0.25">
      <c r="A334" t="str">
        <f t="shared" si="5"/>
        <v>2022_WA_Deepdale_Chickpea_SatelliteTOSTOS1VarietyGenesis_090WaterTrtRainFed</v>
      </c>
      <c r="B334">
        <v>2022008</v>
      </c>
      <c r="C334" t="s">
        <v>47</v>
      </c>
      <c r="D334">
        <v>6</v>
      </c>
      <c r="E334" t="s">
        <v>34</v>
      </c>
      <c r="F334" t="s">
        <v>54</v>
      </c>
      <c r="G334" t="s">
        <v>30</v>
      </c>
      <c r="I334">
        <v>1</v>
      </c>
      <c r="J334" t="s">
        <v>48</v>
      </c>
      <c r="K334" s="1">
        <v>44868</v>
      </c>
      <c r="L334">
        <v>942.3</v>
      </c>
      <c r="M334">
        <v>100</v>
      </c>
      <c r="N334">
        <v>0.2</v>
      </c>
      <c r="O334">
        <v>2.1000000000000001E-2</v>
      </c>
      <c r="T334">
        <v>637.20000000000005</v>
      </c>
      <c r="U334">
        <v>120</v>
      </c>
      <c r="V334">
        <v>295.8</v>
      </c>
      <c r="W334">
        <v>3.4</v>
      </c>
      <c r="X334">
        <v>189</v>
      </c>
      <c r="Y334">
        <v>25</v>
      </c>
    </row>
    <row r="335" spans="1:25" hidden="1" x14ac:dyDescent="0.25">
      <c r="A335" t="str">
        <f t="shared" si="5"/>
        <v>2022_WA_Deepdale_Chickpea_SatelliteTOSTOS2VarietyGenesis_090WaterTrtRainFed</v>
      </c>
      <c r="B335">
        <v>2022008</v>
      </c>
      <c r="C335" t="s">
        <v>47</v>
      </c>
      <c r="D335">
        <v>6</v>
      </c>
      <c r="E335" t="s">
        <v>34</v>
      </c>
      <c r="F335" t="s">
        <v>54</v>
      </c>
      <c r="G335" t="s">
        <v>30</v>
      </c>
      <c r="I335">
        <v>2</v>
      </c>
      <c r="J335" t="s">
        <v>49</v>
      </c>
      <c r="K335" s="1">
        <v>44868</v>
      </c>
      <c r="L335">
        <v>1071.3</v>
      </c>
      <c r="M335">
        <v>91</v>
      </c>
      <c r="N335">
        <v>0.2</v>
      </c>
      <c r="O335">
        <v>0.02</v>
      </c>
      <c r="T335">
        <v>829.2</v>
      </c>
      <c r="U335">
        <v>120</v>
      </c>
      <c r="V335">
        <v>289.89999999999998</v>
      </c>
      <c r="W335">
        <v>3.4</v>
      </c>
      <c r="X335">
        <v>241</v>
      </c>
      <c r="Y335">
        <v>23</v>
      </c>
    </row>
    <row r="336" spans="1:25" hidden="1" x14ac:dyDescent="0.25">
      <c r="A336" t="str">
        <f t="shared" si="5"/>
        <v>2022_WA_Deepdale_Chickpea_SatelliteTOSTOS3VarietyGenesis_090WaterTrtRainFed</v>
      </c>
      <c r="B336">
        <v>2022008</v>
      </c>
      <c r="C336" t="s">
        <v>47</v>
      </c>
      <c r="D336">
        <v>6</v>
      </c>
      <c r="E336" t="s">
        <v>34</v>
      </c>
      <c r="F336" t="s">
        <v>54</v>
      </c>
      <c r="G336" t="s">
        <v>30</v>
      </c>
      <c r="I336">
        <v>3</v>
      </c>
      <c r="J336" t="s">
        <v>50</v>
      </c>
      <c r="K336" s="1">
        <v>44868</v>
      </c>
      <c r="L336">
        <v>684.2</v>
      </c>
      <c r="M336">
        <v>80</v>
      </c>
      <c r="N336">
        <v>0.3</v>
      </c>
      <c r="O336">
        <v>3.5000000000000003E-2</v>
      </c>
      <c r="T336">
        <v>833</v>
      </c>
      <c r="U336">
        <v>120</v>
      </c>
      <c r="V336">
        <v>313.5</v>
      </c>
      <c r="W336">
        <v>3.4</v>
      </c>
      <c r="X336">
        <v>261</v>
      </c>
      <c r="Y336">
        <v>29</v>
      </c>
    </row>
    <row r="337" spans="1:25" hidden="1" x14ac:dyDescent="0.25">
      <c r="A337" t="str">
        <f t="shared" si="5"/>
        <v>2022_WA_Deepdale_Chickpea_SatelliteTOSTOS4VarietyGenesis_090WaterTrtRainFed</v>
      </c>
      <c r="B337">
        <v>2022008</v>
      </c>
      <c r="C337" t="s">
        <v>47</v>
      </c>
      <c r="D337">
        <v>6</v>
      </c>
      <c r="E337" t="s">
        <v>34</v>
      </c>
      <c r="F337" t="s">
        <v>54</v>
      </c>
      <c r="G337" t="s">
        <v>30</v>
      </c>
      <c r="I337">
        <v>4</v>
      </c>
      <c r="J337" t="s">
        <v>51</v>
      </c>
      <c r="K337" s="1">
        <v>44868</v>
      </c>
      <c r="L337">
        <v>596.5</v>
      </c>
      <c r="M337">
        <v>76</v>
      </c>
      <c r="N337">
        <v>0.4</v>
      </c>
      <c r="O337">
        <v>2.5000000000000001E-2</v>
      </c>
      <c r="T337">
        <v>785.7</v>
      </c>
      <c r="U337">
        <v>120</v>
      </c>
      <c r="V337">
        <v>314.2</v>
      </c>
      <c r="W337">
        <v>3.4</v>
      </c>
      <c r="X337">
        <v>247</v>
      </c>
      <c r="Y337">
        <v>20</v>
      </c>
    </row>
    <row r="338" spans="1:25" hidden="1" x14ac:dyDescent="0.25">
      <c r="A338" t="str">
        <f t="shared" si="5"/>
        <v>2022_WA_Deepdale_Chickpea_SatelliteTOSTOS1VarietyDrummondWaterTrtRainFed</v>
      </c>
      <c r="B338">
        <v>2022008</v>
      </c>
      <c r="C338" t="s">
        <v>47</v>
      </c>
      <c r="D338">
        <v>6</v>
      </c>
      <c r="E338" t="s">
        <v>34</v>
      </c>
      <c r="F338" t="s">
        <v>123</v>
      </c>
      <c r="G338" t="s">
        <v>30</v>
      </c>
      <c r="I338">
        <v>1</v>
      </c>
      <c r="J338" t="s">
        <v>48</v>
      </c>
      <c r="K338" s="1">
        <v>44868</v>
      </c>
      <c r="L338">
        <v>1038</v>
      </c>
      <c r="M338">
        <v>100</v>
      </c>
      <c r="N338">
        <v>0.2</v>
      </c>
      <c r="O338">
        <v>2.1000000000000001E-2</v>
      </c>
      <c r="T338">
        <v>953.7</v>
      </c>
      <c r="U338">
        <v>120</v>
      </c>
      <c r="V338">
        <v>186.7</v>
      </c>
      <c r="W338">
        <v>3.4</v>
      </c>
      <c r="X338">
        <v>178</v>
      </c>
      <c r="Y338">
        <v>25</v>
      </c>
    </row>
    <row r="339" spans="1:25" hidden="1" x14ac:dyDescent="0.25">
      <c r="A339" t="str">
        <f t="shared" si="5"/>
        <v>2022_WA_Deepdale_Chickpea_SatelliteTOSTOS2VarietyDrummondWaterTrtRainFed</v>
      </c>
      <c r="B339">
        <v>2022008</v>
      </c>
      <c r="C339" t="s">
        <v>47</v>
      </c>
      <c r="D339">
        <v>6</v>
      </c>
      <c r="E339" t="s">
        <v>34</v>
      </c>
      <c r="F339" t="s">
        <v>123</v>
      </c>
      <c r="G339" t="s">
        <v>30</v>
      </c>
      <c r="I339">
        <v>2</v>
      </c>
      <c r="J339" t="s">
        <v>49</v>
      </c>
      <c r="K339" s="1">
        <v>44868</v>
      </c>
      <c r="L339">
        <v>1014</v>
      </c>
      <c r="M339">
        <v>91</v>
      </c>
      <c r="N339">
        <v>0.2</v>
      </c>
      <c r="O339">
        <v>0.02</v>
      </c>
      <c r="T339">
        <v>1229.7</v>
      </c>
      <c r="U339">
        <v>120</v>
      </c>
      <c r="V339">
        <v>184.5</v>
      </c>
      <c r="W339">
        <v>3.4</v>
      </c>
      <c r="X339">
        <v>228</v>
      </c>
      <c r="Y339">
        <v>23</v>
      </c>
    </row>
    <row r="340" spans="1:25" hidden="1" x14ac:dyDescent="0.25">
      <c r="A340" t="str">
        <f t="shared" si="5"/>
        <v>2022_WA_Deepdale_Chickpea_SatelliteTOSTOS3VarietyDrummondWaterTrtRainFed</v>
      </c>
      <c r="B340">
        <v>2022008</v>
      </c>
      <c r="C340" t="s">
        <v>47</v>
      </c>
      <c r="D340">
        <v>6</v>
      </c>
      <c r="E340" t="s">
        <v>34</v>
      </c>
      <c r="F340" t="s">
        <v>123</v>
      </c>
      <c r="G340" t="s">
        <v>30</v>
      </c>
      <c r="I340">
        <v>3</v>
      </c>
      <c r="J340" t="s">
        <v>50</v>
      </c>
      <c r="K340" s="1">
        <v>44868</v>
      </c>
      <c r="L340">
        <v>1101</v>
      </c>
      <c r="M340">
        <v>80</v>
      </c>
      <c r="N340">
        <v>0.2</v>
      </c>
      <c r="O340">
        <v>3.1E-2</v>
      </c>
      <c r="T340">
        <v>1191.2</v>
      </c>
      <c r="U340">
        <v>120</v>
      </c>
      <c r="V340">
        <v>201.6</v>
      </c>
      <c r="W340">
        <v>3.4</v>
      </c>
      <c r="X340">
        <v>240</v>
      </c>
      <c r="Y340">
        <v>29</v>
      </c>
    </row>
    <row r="341" spans="1:25" hidden="1" x14ac:dyDescent="0.25">
      <c r="A341" t="str">
        <f t="shared" si="5"/>
        <v>2022_WA_Deepdale_Chickpea_SatelliteTOSTOS4VarietyDrummondWaterTrtRainFed</v>
      </c>
      <c r="B341">
        <v>2022008</v>
      </c>
      <c r="C341" t="s">
        <v>47</v>
      </c>
      <c r="D341">
        <v>6</v>
      </c>
      <c r="E341" t="s">
        <v>34</v>
      </c>
      <c r="F341" t="s">
        <v>123</v>
      </c>
      <c r="G341" t="s">
        <v>30</v>
      </c>
      <c r="I341">
        <v>4</v>
      </c>
      <c r="J341" t="s">
        <v>51</v>
      </c>
      <c r="K341" s="1">
        <v>44868</v>
      </c>
      <c r="L341">
        <v>767.2</v>
      </c>
      <c r="M341">
        <v>76</v>
      </c>
      <c r="N341">
        <v>0.3</v>
      </c>
      <c r="O341">
        <v>2.5000000000000001E-2</v>
      </c>
      <c r="T341">
        <v>1129</v>
      </c>
      <c r="U341">
        <v>120</v>
      </c>
      <c r="V341">
        <v>206.4</v>
      </c>
      <c r="W341">
        <v>3.4</v>
      </c>
      <c r="X341">
        <v>234</v>
      </c>
      <c r="Y341">
        <v>20</v>
      </c>
    </row>
    <row r="342" spans="1:25" hidden="1" x14ac:dyDescent="0.25">
      <c r="A342" t="str">
        <f t="shared" si="5"/>
        <v>2022_WA_Deepdale_Chickpea_SatelliteTOSTOS1VarietyHatTrickWaterTrtRainFed</v>
      </c>
      <c r="B342">
        <v>2022008</v>
      </c>
      <c r="C342" t="s">
        <v>47</v>
      </c>
      <c r="D342">
        <v>6</v>
      </c>
      <c r="E342" t="s">
        <v>34</v>
      </c>
      <c r="F342" t="s">
        <v>124</v>
      </c>
      <c r="G342" t="s">
        <v>30</v>
      </c>
      <c r="I342">
        <v>1</v>
      </c>
      <c r="J342" t="s">
        <v>48</v>
      </c>
      <c r="K342" s="1">
        <v>44868</v>
      </c>
      <c r="L342">
        <v>965.8</v>
      </c>
      <c r="M342">
        <v>100</v>
      </c>
      <c r="N342">
        <v>0.2</v>
      </c>
      <c r="O342">
        <v>2.1000000000000001E-2</v>
      </c>
      <c r="T342">
        <v>827</v>
      </c>
      <c r="U342">
        <v>120</v>
      </c>
      <c r="V342">
        <v>180.3</v>
      </c>
      <c r="W342">
        <v>3.4</v>
      </c>
      <c r="X342">
        <v>149</v>
      </c>
      <c r="Y342">
        <v>25</v>
      </c>
    </row>
    <row r="343" spans="1:25" hidden="1" x14ac:dyDescent="0.25">
      <c r="A343" t="str">
        <f t="shared" si="5"/>
        <v>2022_WA_Deepdale_Chickpea_SatelliteTOSTOS2VarietyHatTrickWaterTrtRainFed</v>
      </c>
      <c r="B343">
        <v>2022008</v>
      </c>
      <c r="C343" t="s">
        <v>47</v>
      </c>
      <c r="D343">
        <v>6</v>
      </c>
      <c r="E343" t="s">
        <v>34</v>
      </c>
      <c r="F343" t="s">
        <v>124</v>
      </c>
      <c r="G343" t="s">
        <v>30</v>
      </c>
      <c r="I343">
        <v>2</v>
      </c>
      <c r="J343" t="s">
        <v>49</v>
      </c>
      <c r="K343" s="1">
        <v>44868</v>
      </c>
      <c r="L343">
        <v>987.3</v>
      </c>
      <c r="M343">
        <v>91</v>
      </c>
      <c r="N343">
        <v>0.2</v>
      </c>
      <c r="O343">
        <v>0.02</v>
      </c>
      <c r="T343">
        <v>1095</v>
      </c>
      <c r="U343">
        <v>120</v>
      </c>
      <c r="V343">
        <v>181.8</v>
      </c>
      <c r="W343">
        <v>3.4</v>
      </c>
      <c r="X343">
        <v>199</v>
      </c>
      <c r="Y343">
        <v>23</v>
      </c>
    </row>
    <row r="344" spans="1:25" hidden="1" x14ac:dyDescent="0.25">
      <c r="A344" t="str">
        <f t="shared" si="5"/>
        <v>2022_WA_Deepdale_Chickpea_SatelliteTOSTOS3VarietyHatTrickWaterTrtRainFed</v>
      </c>
      <c r="B344">
        <v>2022008</v>
      </c>
      <c r="C344" t="s">
        <v>47</v>
      </c>
      <c r="D344">
        <v>6</v>
      </c>
      <c r="E344" t="s">
        <v>34</v>
      </c>
      <c r="F344" t="s">
        <v>124</v>
      </c>
      <c r="G344" t="s">
        <v>30</v>
      </c>
      <c r="I344">
        <v>3</v>
      </c>
      <c r="J344" t="s">
        <v>50</v>
      </c>
      <c r="K344" s="1">
        <v>44868</v>
      </c>
      <c r="L344">
        <v>893.2</v>
      </c>
      <c r="M344">
        <v>80</v>
      </c>
      <c r="N344">
        <v>0.2</v>
      </c>
      <c r="O344">
        <v>3.1E-2</v>
      </c>
      <c r="T344">
        <v>1108.7</v>
      </c>
      <c r="U344">
        <v>120</v>
      </c>
      <c r="V344">
        <v>191.9</v>
      </c>
      <c r="W344">
        <v>3.4</v>
      </c>
      <c r="X344">
        <v>212</v>
      </c>
      <c r="Y344">
        <v>29</v>
      </c>
    </row>
    <row r="345" spans="1:25" hidden="1" x14ac:dyDescent="0.25">
      <c r="A345" t="str">
        <f t="shared" si="5"/>
        <v>2022_WA_Deepdale_Chickpea_SatelliteTOSTOS4VarietyHatTrickWaterTrtRainFed</v>
      </c>
      <c r="B345">
        <v>2022008</v>
      </c>
      <c r="C345" t="s">
        <v>47</v>
      </c>
      <c r="D345">
        <v>6</v>
      </c>
      <c r="E345" t="s">
        <v>34</v>
      </c>
      <c r="F345" t="s">
        <v>124</v>
      </c>
      <c r="G345" t="s">
        <v>30</v>
      </c>
      <c r="I345">
        <v>4</v>
      </c>
      <c r="J345" t="s">
        <v>51</v>
      </c>
      <c r="K345" s="1">
        <v>44868</v>
      </c>
      <c r="L345">
        <v>814.2</v>
      </c>
      <c r="M345">
        <v>76</v>
      </c>
      <c r="N345">
        <v>0.3</v>
      </c>
      <c r="O345">
        <v>2.5000000000000001E-2</v>
      </c>
      <c r="T345">
        <v>1286</v>
      </c>
      <c r="U345">
        <v>120</v>
      </c>
      <c r="V345">
        <v>192.1</v>
      </c>
      <c r="W345">
        <v>3.4</v>
      </c>
      <c r="X345">
        <v>247</v>
      </c>
      <c r="Y345">
        <v>20</v>
      </c>
    </row>
    <row r="346" spans="1:25" hidden="1" x14ac:dyDescent="0.25">
      <c r="A346" t="str">
        <f t="shared" si="5"/>
        <v>2022_WA_Deepdale_Chickpea_SatelliteTOSTOS1VarietyStrikerWaterTrtRainFed</v>
      </c>
      <c r="B346">
        <v>2022008</v>
      </c>
      <c r="C346" t="s">
        <v>47</v>
      </c>
      <c r="D346">
        <v>6</v>
      </c>
      <c r="E346" t="s">
        <v>34</v>
      </c>
      <c r="F346" t="s">
        <v>125</v>
      </c>
      <c r="G346" t="s">
        <v>30</v>
      </c>
      <c r="I346">
        <v>1</v>
      </c>
      <c r="J346" t="s">
        <v>48</v>
      </c>
      <c r="K346" s="1">
        <v>44861</v>
      </c>
      <c r="L346">
        <v>914.9</v>
      </c>
      <c r="M346">
        <v>120</v>
      </c>
      <c r="N346">
        <v>0.2</v>
      </c>
      <c r="O346">
        <v>2.1999999999999999E-2</v>
      </c>
      <c r="T346">
        <v>1012.7</v>
      </c>
      <c r="U346">
        <v>140</v>
      </c>
      <c r="V346">
        <v>202.7</v>
      </c>
      <c r="W346">
        <v>3.4</v>
      </c>
      <c r="X346">
        <v>206</v>
      </c>
      <c r="Y346">
        <v>28</v>
      </c>
    </row>
    <row r="347" spans="1:25" hidden="1" x14ac:dyDescent="0.25">
      <c r="A347" t="str">
        <f t="shared" si="5"/>
        <v>2022_WA_Deepdale_Chickpea_SatelliteTOSTOS2VarietyStrikerWaterTrtRainFed</v>
      </c>
      <c r="B347">
        <v>2022008</v>
      </c>
      <c r="C347" t="s">
        <v>47</v>
      </c>
      <c r="D347">
        <v>6</v>
      </c>
      <c r="E347" t="s">
        <v>34</v>
      </c>
      <c r="F347" t="s">
        <v>125</v>
      </c>
      <c r="G347" t="s">
        <v>30</v>
      </c>
      <c r="I347">
        <v>2</v>
      </c>
      <c r="J347" t="s">
        <v>49</v>
      </c>
      <c r="K347" s="1">
        <v>44861</v>
      </c>
      <c r="L347">
        <v>991.5</v>
      </c>
      <c r="M347">
        <v>91</v>
      </c>
      <c r="N347">
        <v>0.3</v>
      </c>
      <c r="O347">
        <v>0.02</v>
      </c>
      <c r="T347">
        <v>1243.7</v>
      </c>
      <c r="U347">
        <v>120</v>
      </c>
      <c r="V347">
        <v>200.5</v>
      </c>
      <c r="W347">
        <v>3.4</v>
      </c>
      <c r="X347">
        <v>250</v>
      </c>
      <c r="Y347">
        <v>23</v>
      </c>
    </row>
    <row r="348" spans="1:25" hidden="1" x14ac:dyDescent="0.25">
      <c r="A348" t="str">
        <f t="shared" si="5"/>
        <v>2022_WA_Deepdale_Chickpea_SatelliteTOSTOS3VarietyStrikerWaterTrtRainFed</v>
      </c>
      <c r="B348">
        <v>2022008</v>
      </c>
      <c r="C348" t="s">
        <v>47</v>
      </c>
      <c r="D348">
        <v>6</v>
      </c>
      <c r="E348" t="s">
        <v>34</v>
      </c>
      <c r="F348" t="s">
        <v>125</v>
      </c>
      <c r="G348" t="s">
        <v>30</v>
      </c>
      <c r="I348">
        <v>3</v>
      </c>
      <c r="J348" t="s">
        <v>50</v>
      </c>
      <c r="K348" s="1">
        <v>44861</v>
      </c>
      <c r="L348">
        <v>1022.7</v>
      </c>
      <c r="M348">
        <v>80</v>
      </c>
      <c r="N348">
        <v>0.3</v>
      </c>
      <c r="O348">
        <v>3.1E-2</v>
      </c>
      <c r="T348">
        <v>1261</v>
      </c>
      <c r="U348">
        <v>120</v>
      </c>
      <c r="V348">
        <v>211.2</v>
      </c>
      <c r="W348">
        <v>3.4</v>
      </c>
      <c r="X348">
        <v>266</v>
      </c>
      <c r="Y348">
        <v>29</v>
      </c>
    </row>
    <row r="349" spans="1:25" hidden="1" x14ac:dyDescent="0.25">
      <c r="A349" t="str">
        <f t="shared" si="5"/>
        <v>2022_WA_Deepdale_Chickpea_SatelliteTOSTOS4VarietyStrikerWaterTrtRainFed</v>
      </c>
      <c r="B349">
        <v>2022008</v>
      </c>
      <c r="C349" t="s">
        <v>47</v>
      </c>
      <c r="D349">
        <v>6</v>
      </c>
      <c r="E349" t="s">
        <v>34</v>
      </c>
      <c r="F349" t="s">
        <v>125</v>
      </c>
      <c r="G349" t="s">
        <v>30</v>
      </c>
      <c r="I349">
        <v>4</v>
      </c>
      <c r="J349" t="s">
        <v>51</v>
      </c>
      <c r="K349" s="1">
        <v>44861</v>
      </c>
      <c r="L349">
        <v>833.7</v>
      </c>
      <c r="M349">
        <v>76</v>
      </c>
      <c r="N349">
        <v>0.3</v>
      </c>
      <c r="O349">
        <v>2.5000000000000001E-2</v>
      </c>
      <c r="T349">
        <v>1373.2</v>
      </c>
      <c r="U349">
        <v>120</v>
      </c>
      <c r="V349">
        <v>208.2</v>
      </c>
      <c r="W349">
        <v>3.4</v>
      </c>
      <c r="X349">
        <v>284</v>
      </c>
      <c r="Y349">
        <v>20</v>
      </c>
    </row>
    <row r="350" spans="1:25" hidden="1" x14ac:dyDescent="0.25">
      <c r="A350" t="str">
        <f t="shared" si="5"/>
        <v>2022_NSW_Greenethorpe_Chickpea_SatelliteTOSTOS1VarietyCBA_CaptainWaterTrtRainFed</v>
      </c>
      <c r="B350">
        <v>2022010</v>
      </c>
      <c r="C350" t="s">
        <v>55</v>
      </c>
      <c r="D350">
        <v>6</v>
      </c>
      <c r="E350" t="s">
        <v>34</v>
      </c>
      <c r="F350" t="s">
        <v>26</v>
      </c>
      <c r="G350" t="s">
        <v>30</v>
      </c>
      <c r="I350">
        <v>1</v>
      </c>
      <c r="J350" t="s">
        <v>49</v>
      </c>
      <c r="K350" s="1">
        <v>44911</v>
      </c>
      <c r="L350">
        <v>2916.7</v>
      </c>
      <c r="M350">
        <v>240</v>
      </c>
      <c r="N350">
        <v>0.2</v>
      </c>
      <c r="O350">
        <v>1.7999999999999999E-2</v>
      </c>
      <c r="T350">
        <v>2419.3000000000002</v>
      </c>
      <c r="U350">
        <v>230</v>
      </c>
      <c r="V350">
        <v>201.5</v>
      </c>
      <c r="W350">
        <v>4</v>
      </c>
      <c r="X350">
        <v>487</v>
      </c>
      <c r="Y350">
        <v>48</v>
      </c>
    </row>
    <row r="351" spans="1:25" hidden="1" x14ac:dyDescent="0.25">
      <c r="A351" t="str">
        <f t="shared" si="5"/>
        <v>2022_NSW_Greenethorpe_Chickpea_SatelliteTOSTOS2VarietyCBA_CaptainWaterTrtRainFed</v>
      </c>
      <c r="B351">
        <v>2022010</v>
      </c>
      <c r="C351" t="s">
        <v>55</v>
      </c>
      <c r="D351">
        <v>6</v>
      </c>
      <c r="E351" t="s">
        <v>34</v>
      </c>
      <c r="F351" t="s">
        <v>26</v>
      </c>
      <c r="G351" t="s">
        <v>30</v>
      </c>
      <c r="I351">
        <v>2</v>
      </c>
      <c r="J351" t="s">
        <v>51</v>
      </c>
      <c r="K351" s="1">
        <v>44914</v>
      </c>
      <c r="L351">
        <v>1697</v>
      </c>
      <c r="M351">
        <v>280</v>
      </c>
      <c r="N351">
        <v>0.2</v>
      </c>
      <c r="O351">
        <v>2.1000000000000001E-2</v>
      </c>
      <c r="T351">
        <v>1821.8</v>
      </c>
      <c r="U351">
        <v>230</v>
      </c>
      <c r="V351">
        <v>205.6</v>
      </c>
      <c r="W351">
        <v>4</v>
      </c>
      <c r="X351">
        <v>376</v>
      </c>
      <c r="Y351">
        <v>48</v>
      </c>
    </row>
    <row r="352" spans="1:25" hidden="1" x14ac:dyDescent="0.25">
      <c r="A352" t="str">
        <f t="shared" si="5"/>
        <v>2022_NSW_Greenethorpe_Chickpea_SatelliteTOSTOS1VarietyDrummondWaterTrtRainFed</v>
      </c>
      <c r="B352">
        <v>2022010</v>
      </c>
      <c r="C352" t="s">
        <v>55</v>
      </c>
      <c r="D352">
        <v>6</v>
      </c>
      <c r="E352" t="s">
        <v>34</v>
      </c>
      <c r="F352" t="s">
        <v>123</v>
      </c>
      <c r="G352" t="s">
        <v>30</v>
      </c>
      <c r="I352">
        <v>1</v>
      </c>
      <c r="J352" t="s">
        <v>49</v>
      </c>
      <c r="K352" s="1">
        <v>44914</v>
      </c>
      <c r="L352">
        <v>2427.9</v>
      </c>
      <c r="M352">
        <v>240</v>
      </c>
      <c r="N352">
        <v>0.2</v>
      </c>
      <c r="O352">
        <v>1.7999999999999999E-2</v>
      </c>
      <c r="T352">
        <v>1794</v>
      </c>
      <c r="U352">
        <v>230</v>
      </c>
      <c r="V352">
        <v>223.3</v>
      </c>
      <c r="W352">
        <v>4</v>
      </c>
      <c r="X352">
        <v>400</v>
      </c>
      <c r="Y352">
        <v>48</v>
      </c>
    </row>
    <row r="353" spans="1:25" hidden="1" x14ac:dyDescent="0.25">
      <c r="A353" t="str">
        <f t="shared" si="5"/>
        <v>2022_NSW_Greenethorpe_Chickpea_SatelliteTOSTOS2VarietyDrummondWaterTrtRainFed</v>
      </c>
      <c r="B353">
        <v>2022010</v>
      </c>
      <c r="C353" t="s">
        <v>55</v>
      </c>
      <c r="D353">
        <v>6</v>
      </c>
      <c r="E353" t="s">
        <v>34</v>
      </c>
      <c r="F353" t="s">
        <v>123</v>
      </c>
      <c r="G353" t="s">
        <v>30</v>
      </c>
      <c r="I353">
        <v>2</v>
      </c>
      <c r="J353" t="s">
        <v>51</v>
      </c>
      <c r="K353" s="1">
        <v>44914</v>
      </c>
      <c r="L353">
        <v>1627.8</v>
      </c>
      <c r="M353">
        <v>240</v>
      </c>
      <c r="N353">
        <v>0.2</v>
      </c>
      <c r="O353">
        <v>1.7999999999999999E-2</v>
      </c>
      <c r="T353">
        <v>1256.9000000000001</v>
      </c>
      <c r="U353">
        <v>230</v>
      </c>
      <c r="V353">
        <v>214.4</v>
      </c>
      <c r="W353">
        <v>4</v>
      </c>
      <c r="X353">
        <v>270</v>
      </c>
      <c r="Y353">
        <v>48</v>
      </c>
    </row>
    <row r="354" spans="1:25" hidden="1" x14ac:dyDescent="0.25">
      <c r="A354" t="str">
        <f t="shared" si="5"/>
        <v>2022_NSW_Greenethorpe_Chickpea_SatelliteTOSTOS1VarietyHatTrickWaterTrtRainFed</v>
      </c>
      <c r="B354">
        <v>2022010</v>
      </c>
      <c r="C354" t="s">
        <v>55</v>
      </c>
      <c r="D354">
        <v>6</v>
      </c>
      <c r="E354" t="s">
        <v>34</v>
      </c>
      <c r="F354" t="s">
        <v>124</v>
      </c>
      <c r="G354" t="s">
        <v>30</v>
      </c>
      <c r="I354">
        <v>1</v>
      </c>
      <c r="J354" t="s">
        <v>49</v>
      </c>
      <c r="K354" s="1">
        <v>44914</v>
      </c>
      <c r="L354">
        <v>2422.9</v>
      </c>
      <c r="M354">
        <v>240</v>
      </c>
      <c r="N354">
        <v>0.2</v>
      </c>
      <c r="O354">
        <v>1.7999999999999999E-2</v>
      </c>
      <c r="T354">
        <v>1950.1</v>
      </c>
      <c r="U354">
        <v>230</v>
      </c>
      <c r="V354">
        <v>196.1</v>
      </c>
      <c r="W354">
        <v>4</v>
      </c>
      <c r="X354">
        <v>384</v>
      </c>
      <c r="Y354">
        <v>48</v>
      </c>
    </row>
    <row r="355" spans="1:25" hidden="1" x14ac:dyDescent="0.25">
      <c r="A355" t="str">
        <f t="shared" si="5"/>
        <v>2022_NSW_Greenethorpe_Chickpea_SatelliteTOSTOS2VarietyHatTrickWaterTrtRainFed</v>
      </c>
      <c r="B355">
        <v>2022010</v>
      </c>
      <c r="C355" t="s">
        <v>55</v>
      </c>
      <c r="D355">
        <v>6</v>
      </c>
      <c r="E355" t="s">
        <v>34</v>
      </c>
      <c r="F355" t="s">
        <v>124</v>
      </c>
      <c r="G355" t="s">
        <v>30</v>
      </c>
      <c r="I355">
        <v>2</v>
      </c>
      <c r="J355" t="s">
        <v>51</v>
      </c>
      <c r="K355" s="1">
        <v>44914</v>
      </c>
      <c r="L355">
        <v>1779.1</v>
      </c>
      <c r="M355">
        <v>280</v>
      </c>
      <c r="N355">
        <v>0.2</v>
      </c>
      <c r="O355">
        <v>2.1000000000000001E-2</v>
      </c>
      <c r="T355">
        <v>1658.3</v>
      </c>
      <c r="U355">
        <v>230</v>
      </c>
      <c r="V355">
        <v>195.9</v>
      </c>
      <c r="W355">
        <v>4</v>
      </c>
      <c r="X355">
        <v>325</v>
      </c>
      <c r="Y355">
        <v>48</v>
      </c>
    </row>
    <row r="356" spans="1:25" hidden="1" x14ac:dyDescent="0.25">
      <c r="A356" t="str">
        <f t="shared" si="5"/>
        <v>2022_NSW_Greenethorpe_Chickpea_SatelliteTOSTOS1VarietyStrikerWaterTrtRainFed</v>
      </c>
      <c r="B356">
        <v>2022010</v>
      </c>
      <c r="C356" t="s">
        <v>55</v>
      </c>
      <c r="D356">
        <v>6</v>
      </c>
      <c r="E356" t="s">
        <v>34</v>
      </c>
      <c r="F356" t="s">
        <v>125</v>
      </c>
      <c r="G356" t="s">
        <v>30</v>
      </c>
      <c r="I356">
        <v>1</v>
      </c>
      <c r="J356" t="s">
        <v>49</v>
      </c>
      <c r="K356" s="1">
        <v>44914</v>
      </c>
      <c r="L356">
        <v>1204.5999999999999</v>
      </c>
      <c r="M356">
        <v>280</v>
      </c>
      <c r="N356">
        <v>0.1</v>
      </c>
      <c r="O356">
        <v>2.1000000000000001E-2</v>
      </c>
      <c r="T356">
        <v>846.6</v>
      </c>
      <c r="U356">
        <v>260</v>
      </c>
      <c r="V356">
        <v>192.3</v>
      </c>
      <c r="W356">
        <v>4.5999999999999996</v>
      </c>
      <c r="X356">
        <v>162</v>
      </c>
      <c r="Y356">
        <v>55</v>
      </c>
    </row>
    <row r="357" spans="1:25" hidden="1" x14ac:dyDescent="0.25">
      <c r="A357" t="str">
        <f t="shared" si="5"/>
        <v>2022_NSW_Greenethorpe_Chickpea_SatelliteTOSTOS2VarietyStrikerWaterTrtRainFed</v>
      </c>
      <c r="B357">
        <v>2022010</v>
      </c>
      <c r="C357" t="s">
        <v>55</v>
      </c>
      <c r="D357">
        <v>6</v>
      </c>
      <c r="E357" t="s">
        <v>34</v>
      </c>
      <c r="F357" t="s">
        <v>125</v>
      </c>
      <c r="G357" t="s">
        <v>30</v>
      </c>
      <c r="I357">
        <v>2</v>
      </c>
      <c r="J357" t="s">
        <v>51</v>
      </c>
      <c r="K357" s="1">
        <v>44914</v>
      </c>
      <c r="L357">
        <v>1365.1</v>
      </c>
      <c r="M357">
        <v>240</v>
      </c>
      <c r="N357">
        <v>0.2</v>
      </c>
      <c r="O357">
        <v>1.7999999999999999E-2</v>
      </c>
      <c r="T357">
        <v>1319.6</v>
      </c>
      <c r="U357">
        <v>230</v>
      </c>
      <c r="V357">
        <v>224.6</v>
      </c>
      <c r="W357">
        <v>4</v>
      </c>
      <c r="X357">
        <v>296</v>
      </c>
      <c r="Y357">
        <v>48</v>
      </c>
    </row>
    <row r="358" spans="1:25" hidden="1" x14ac:dyDescent="0.25">
      <c r="A358" t="str">
        <f t="shared" si="5"/>
        <v>2022_Vic_Ouyen_Chickpea_SatelliteTOSTOS1VarietyCBA_CaptainWaterTrtRainFed</v>
      </c>
      <c r="B358">
        <v>2022011</v>
      </c>
      <c r="C358" t="s">
        <v>56</v>
      </c>
      <c r="D358">
        <v>6</v>
      </c>
      <c r="E358" t="s">
        <v>34</v>
      </c>
      <c r="F358" t="s">
        <v>26</v>
      </c>
      <c r="G358" t="s">
        <v>30</v>
      </c>
      <c r="I358">
        <v>1</v>
      </c>
      <c r="J358" t="s">
        <v>57</v>
      </c>
      <c r="K358" s="1">
        <v>44903</v>
      </c>
      <c r="L358">
        <v>875.9</v>
      </c>
      <c r="M358">
        <v>74</v>
      </c>
      <c r="N358">
        <v>0.18646247895347401</v>
      </c>
      <c r="O358">
        <v>2.5000000000000001E-2</v>
      </c>
      <c r="R358">
        <v>40.299999999999997</v>
      </c>
      <c r="S358">
        <v>4.5999999999999996</v>
      </c>
      <c r="T358">
        <v>294.99003579512902</v>
      </c>
      <c r="U358">
        <v>70</v>
      </c>
      <c r="V358">
        <v>178.4</v>
      </c>
      <c r="W358">
        <v>13</v>
      </c>
      <c r="X358">
        <v>159.11170128663301</v>
      </c>
      <c r="Y358">
        <v>16</v>
      </c>
    </row>
    <row r="359" spans="1:25" hidden="1" x14ac:dyDescent="0.25">
      <c r="A359" t="str">
        <f t="shared" si="5"/>
        <v>2022_Vic_Ouyen_Chickpea_SatelliteTOSTOS2VarietyCBA_CaptainWaterTrtRainFed</v>
      </c>
      <c r="B359">
        <v>2022011</v>
      </c>
      <c r="C359" t="s">
        <v>56</v>
      </c>
      <c r="D359">
        <v>6</v>
      </c>
      <c r="E359" t="s">
        <v>34</v>
      </c>
      <c r="F359" t="s">
        <v>26</v>
      </c>
      <c r="G359" t="s">
        <v>30</v>
      </c>
      <c r="I359">
        <v>2</v>
      </c>
      <c r="J359" t="s">
        <v>58</v>
      </c>
      <c r="K359" s="1">
        <v>44909</v>
      </c>
      <c r="L359">
        <v>681.8</v>
      </c>
      <c r="M359">
        <v>74</v>
      </c>
      <c r="N359">
        <v>0.43305347183006998</v>
      </c>
      <c r="O359">
        <v>2.5000000000000001E-2</v>
      </c>
      <c r="R359">
        <v>25.5</v>
      </c>
      <c r="S359">
        <v>4.5999999999999996</v>
      </c>
      <c r="T359">
        <v>497.34041764846802</v>
      </c>
      <c r="U359">
        <v>70</v>
      </c>
      <c r="V359">
        <v>188.3</v>
      </c>
      <c r="W359">
        <v>13</v>
      </c>
      <c r="X359">
        <v>286.27537573210901</v>
      </c>
      <c r="Y359">
        <v>16</v>
      </c>
    </row>
    <row r="360" spans="1:25" hidden="1" x14ac:dyDescent="0.25">
      <c r="A360" t="str">
        <f t="shared" si="5"/>
        <v>2022_Vic_Ouyen_Chickpea_SatelliteTOSTOS1VarietyGenesis_090WaterTrtRainFed</v>
      </c>
      <c r="B360">
        <v>2022011</v>
      </c>
      <c r="C360" t="s">
        <v>56</v>
      </c>
      <c r="D360">
        <v>6</v>
      </c>
      <c r="E360" t="s">
        <v>34</v>
      </c>
      <c r="F360" t="s">
        <v>54</v>
      </c>
      <c r="G360" t="s">
        <v>30</v>
      </c>
      <c r="I360">
        <v>1</v>
      </c>
      <c r="J360" t="s">
        <v>57</v>
      </c>
      <c r="K360" s="1">
        <v>44909</v>
      </c>
      <c r="L360">
        <v>752.4</v>
      </c>
      <c r="M360">
        <v>74</v>
      </c>
      <c r="N360">
        <v>0.19655047681058899</v>
      </c>
      <c r="O360">
        <v>2.5000000000000001E-2</v>
      </c>
      <c r="R360">
        <v>25.2</v>
      </c>
      <c r="S360">
        <v>4.5999999999999996</v>
      </c>
      <c r="T360">
        <v>228.50733516000099</v>
      </c>
      <c r="U360">
        <v>70</v>
      </c>
      <c r="V360">
        <v>215.8</v>
      </c>
      <c r="W360">
        <v>13</v>
      </c>
      <c r="X360">
        <v>149.496398149264</v>
      </c>
      <c r="Y360">
        <v>16</v>
      </c>
    </row>
    <row r="361" spans="1:25" hidden="1" x14ac:dyDescent="0.25">
      <c r="A361" t="str">
        <f t="shared" si="5"/>
        <v>2022_Vic_Ouyen_Chickpea_SatelliteTOSTOS2VarietyGenesis_090WaterTrtRainFed</v>
      </c>
      <c r="B361">
        <v>2022011</v>
      </c>
      <c r="C361" t="s">
        <v>56</v>
      </c>
      <c r="D361">
        <v>6</v>
      </c>
      <c r="E361" t="s">
        <v>34</v>
      </c>
      <c r="F361" t="s">
        <v>54</v>
      </c>
      <c r="G361" t="s">
        <v>30</v>
      </c>
      <c r="I361">
        <v>2</v>
      </c>
      <c r="J361" t="s">
        <v>58</v>
      </c>
      <c r="K361" s="1">
        <v>44924</v>
      </c>
      <c r="L361">
        <v>589</v>
      </c>
      <c r="M361">
        <v>74</v>
      </c>
      <c r="N361">
        <v>0.121649547562879</v>
      </c>
      <c r="O361">
        <v>2.5000000000000001E-2</v>
      </c>
      <c r="R361">
        <v>33.5</v>
      </c>
      <c r="S361">
        <v>4.5999999999999996</v>
      </c>
      <c r="T361">
        <v>87.879960631469899</v>
      </c>
      <c r="U361">
        <v>70</v>
      </c>
      <c r="V361">
        <v>181.8</v>
      </c>
      <c r="W361">
        <v>13</v>
      </c>
      <c r="X361">
        <v>54.730735820864197</v>
      </c>
      <c r="Y361">
        <v>16</v>
      </c>
    </row>
    <row r="362" spans="1:25" hidden="1" x14ac:dyDescent="0.25">
      <c r="A362" t="str">
        <f t="shared" si="5"/>
        <v>2022_Vic_Ouyen_Chickpea_SatelliteTOSTOS1VarietyDrummondWaterTrtRainFed</v>
      </c>
      <c r="B362">
        <v>2022011</v>
      </c>
      <c r="C362" t="s">
        <v>56</v>
      </c>
      <c r="D362">
        <v>6</v>
      </c>
      <c r="E362" t="s">
        <v>34</v>
      </c>
      <c r="F362" t="s">
        <v>123</v>
      </c>
      <c r="G362" t="s">
        <v>30</v>
      </c>
      <c r="I362">
        <v>1</v>
      </c>
      <c r="J362" t="s">
        <v>57</v>
      </c>
      <c r="K362" s="1">
        <v>44909</v>
      </c>
      <c r="L362">
        <v>840.9</v>
      </c>
      <c r="M362">
        <v>74</v>
      </c>
      <c r="N362">
        <v>0.328768595871469</v>
      </c>
      <c r="O362">
        <v>2.5000000000000001E-2</v>
      </c>
      <c r="R362">
        <v>32.299999999999997</v>
      </c>
      <c r="S362">
        <v>4.5999999999999996</v>
      </c>
      <c r="T362">
        <v>429.130566645594</v>
      </c>
      <c r="U362">
        <v>70</v>
      </c>
      <c r="V362">
        <v>211.9</v>
      </c>
      <c r="W362">
        <v>13</v>
      </c>
      <c r="X362">
        <v>275.06233543279899</v>
      </c>
      <c r="Y362">
        <v>16</v>
      </c>
    </row>
    <row r="363" spans="1:25" hidden="1" x14ac:dyDescent="0.25">
      <c r="A363" t="str">
        <f t="shared" si="5"/>
        <v>2022_Vic_Ouyen_Chickpea_SatelliteTOSTOS2VarietyDrummondWaterTrtRainFed</v>
      </c>
      <c r="B363">
        <v>2022011</v>
      </c>
      <c r="C363" t="s">
        <v>56</v>
      </c>
      <c r="D363">
        <v>6</v>
      </c>
      <c r="E363" t="s">
        <v>34</v>
      </c>
      <c r="F363" t="s">
        <v>123</v>
      </c>
      <c r="G363" t="s">
        <v>30</v>
      </c>
      <c r="I363">
        <v>2</v>
      </c>
      <c r="J363" t="s">
        <v>58</v>
      </c>
      <c r="K363" s="1">
        <v>44909</v>
      </c>
      <c r="L363">
        <v>550.79999999999995</v>
      </c>
      <c r="M363">
        <v>74</v>
      </c>
      <c r="N363">
        <v>0.23235781220511301</v>
      </c>
      <c r="O363">
        <v>2.5000000000000001E-2</v>
      </c>
      <c r="R363">
        <v>29.5</v>
      </c>
      <c r="S363">
        <v>4.5999999999999996</v>
      </c>
      <c r="T363">
        <v>213.37338335779401</v>
      </c>
      <c r="U363">
        <v>70</v>
      </c>
      <c r="V363">
        <v>170.8</v>
      </c>
      <c r="W363">
        <v>13</v>
      </c>
      <c r="X363">
        <v>115.868227262292</v>
      </c>
      <c r="Y363">
        <v>16</v>
      </c>
    </row>
    <row r="364" spans="1:25" hidden="1" x14ac:dyDescent="0.25">
      <c r="A364" t="str">
        <f t="shared" si="5"/>
        <v>2022_Vic_Ouyen_Chickpea_SatelliteTOSTOS1VarietyHatTrickWaterTrtRainFed</v>
      </c>
      <c r="B364">
        <v>2022011</v>
      </c>
      <c r="C364" t="s">
        <v>56</v>
      </c>
      <c r="D364">
        <v>6</v>
      </c>
      <c r="E364" t="s">
        <v>34</v>
      </c>
      <c r="F364" t="s">
        <v>124</v>
      </c>
      <c r="G364" t="s">
        <v>30</v>
      </c>
      <c r="I364">
        <v>1</v>
      </c>
      <c r="J364" t="s">
        <v>57</v>
      </c>
      <c r="K364" s="1">
        <v>44903</v>
      </c>
      <c r="L364">
        <v>670.9</v>
      </c>
      <c r="M364">
        <v>74</v>
      </c>
      <c r="N364">
        <v>0.25517017674107201</v>
      </c>
      <c r="O364">
        <v>2.5000000000000001E-2</v>
      </c>
      <c r="R364">
        <v>31.8</v>
      </c>
      <c r="S364">
        <v>4.5999999999999996</v>
      </c>
      <c r="T364">
        <v>306.83405722931201</v>
      </c>
      <c r="U364">
        <v>70</v>
      </c>
      <c r="V364">
        <v>184.2</v>
      </c>
      <c r="W364">
        <v>13</v>
      </c>
      <c r="X364">
        <v>173.32942813243699</v>
      </c>
      <c r="Y364">
        <v>16</v>
      </c>
    </row>
    <row r="365" spans="1:25" hidden="1" x14ac:dyDescent="0.25">
      <c r="A365" t="str">
        <f t="shared" si="5"/>
        <v>2022_Vic_Ouyen_Chickpea_SatelliteTOSTOS2VarietyHatTrickWaterTrtRainFed</v>
      </c>
      <c r="B365">
        <v>2022011</v>
      </c>
      <c r="C365" t="s">
        <v>56</v>
      </c>
      <c r="D365">
        <v>6</v>
      </c>
      <c r="E365" t="s">
        <v>34</v>
      </c>
      <c r="F365" t="s">
        <v>124</v>
      </c>
      <c r="G365" t="s">
        <v>30</v>
      </c>
      <c r="I365">
        <v>2</v>
      </c>
      <c r="J365" t="s">
        <v>58</v>
      </c>
      <c r="K365" s="1">
        <v>44909</v>
      </c>
      <c r="L365">
        <v>682.9</v>
      </c>
      <c r="M365">
        <v>74</v>
      </c>
      <c r="N365">
        <v>0.310744700697832</v>
      </c>
      <c r="O365">
        <v>2.5000000000000001E-2</v>
      </c>
      <c r="R365">
        <v>27.5</v>
      </c>
      <c r="S365">
        <v>4.5999999999999996</v>
      </c>
      <c r="T365">
        <v>424.66469111154402</v>
      </c>
      <c r="U365">
        <v>78</v>
      </c>
      <c r="V365">
        <v>166.6</v>
      </c>
      <c r="W365">
        <v>13</v>
      </c>
      <c r="X365">
        <v>206.82559613787899</v>
      </c>
      <c r="Y365">
        <v>16</v>
      </c>
    </row>
    <row r="366" spans="1:25" hidden="1" x14ac:dyDescent="0.25">
      <c r="A366" t="str">
        <f t="shared" si="5"/>
        <v>2022_Vic_Ouyen_Chickpea_SatelliteTOSTOS1VarietyMagnusWaterTrtRainFed</v>
      </c>
      <c r="B366">
        <v>2022011</v>
      </c>
      <c r="C366" t="s">
        <v>56</v>
      </c>
      <c r="D366">
        <v>6</v>
      </c>
      <c r="E366" t="s">
        <v>34</v>
      </c>
      <c r="F366" t="s">
        <v>134</v>
      </c>
      <c r="G366" t="s">
        <v>30</v>
      </c>
      <c r="I366">
        <v>1</v>
      </c>
      <c r="J366" t="s">
        <v>57</v>
      </c>
      <c r="K366" s="1">
        <v>44924</v>
      </c>
      <c r="L366">
        <v>721.8</v>
      </c>
      <c r="M366">
        <v>74</v>
      </c>
      <c r="N366">
        <v>0.109936653748932</v>
      </c>
      <c r="O366">
        <v>2.5000000000000001E-2</v>
      </c>
      <c r="R366">
        <v>29.8</v>
      </c>
      <c r="S366">
        <v>4.5999999999999996</v>
      </c>
      <c r="T366">
        <v>89.798502375427901</v>
      </c>
      <c r="U366">
        <v>70</v>
      </c>
      <c r="V366">
        <v>317.10000000000002</v>
      </c>
      <c r="W366">
        <v>13</v>
      </c>
      <c r="X366">
        <v>84.066535094600297</v>
      </c>
      <c r="Y366">
        <v>16</v>
      </c>
    </row>
    <row r="367" spans="1:25" hidden="1" x14ac:dyDescent="0.25">
      <c r="A367" t="str">
        <f t="shared" si="5"/>
        <v>2022_Vic_Ouyen_Chickpea_SatelliteTOSTOS2VarietyMagnusWaterTrtRainFed</v>
      </c>
      <c r="B367">
        <v>2022011</v>
      </c>
      <c r="C367" t="s">
        <v>56</v>
      </c>
      <c r="D367">
        <v>6</v>
      </c>
      <c r="E367" t="s">
        <v>34</v>
      </c>
      <c r="F367" t="s">
        <v>134</v>
      </c>
      <c r="G367" t="s">
        <v>30</v>
      </c>
      <c r="I367">
        <v>2</v>
      </c>
      <c r="J367" t="s">
        <v>58</v>
      </c>
      <c r="K367" s="1">
        <v>44924</v>
      </c>
      <c r="L367">
        <v>502.2</v>
      </c>
      <c r="M367">
        <v>74</v>
      </c>
      <c r="N367">
        <v>0.10105732483197399</v>
      </c>
      <c r="O367">
        <v>2.8000000000000001E-2</v>
      </c>
      <c r="R367">
        <v>28.6</v>
      </c>
      <c r="S367">
        <v>4.5999999999999996</v>
      </c>
      <c r="T367">
        <v>46.983232079169198</v>
      </c>
      <c r="U367">
        <v>93</v>
      </c>
      <c r="V367">
        <v>263.2</v>
      </c>
      <c r="W367">
        <v>18</v>
      </c>
      <c r="X367">
        <v>49.3360218839724</v>
      </c>
      <c r="Y367">
        <v>18</v>
      </c>
    </row>
    <row r="368" spans="1:25" hidden="1" x14ac:dyDescent="0.25">
      <c r="A368" t="str">
        <f t="shared" si="5"/>
        <v>2022_Vic_Ouyen_Chickpea_SatelliteTOSTOS1VarietyStrikerWaterTrtRainFed</v>
      </c>
      <c r="B368">
        <v>2022011</v>
      </c>
      <c r="C368" t="s">
        <v>56</v>
      </c>
      <c r="D368">
        <v>6</v>
      </c>
      <c r="E368" t="s">
        <v>34</v>
      </c>
      <c r="F368" t="s">
        <v>125</v>
      </c>
      <c r="G368" t="s">
        <v>30</v>
      </c>
      <c r="I368">
        <v>1</v>
      </c>
      <c r="J368" t="s">
        <v>57</v>
      </c>
      <c r="K368" s="1">
        <v>44924</v>
      </c>
      <c r="L368">
        <v>619.20000000000005</v>
      </c>
      <c r="M368">
        <v>74</v>
      </c>
      <c r="N368">
        <v>0.19960205036134901</v>
      </c>
      <c r="O368">
        <v>2.5000000000000001E-2</v>
      </c>
      <c r="R368">
        <v>33.700000000000003</v>
      </c>
      <c r="S368">
        <v>4.5999999999999996</v>
      </c>
      <c r="T368">
        <v>185.19885472124199</v>
      </c>
      <c r="U368">
        <v>70</v>
      </c>
      <c r="V368">
        <v>210.4</v>
      </c>
      <c r="W368">
        <v>13</v>
      </c>
      <c r="X368">
        <v>118.552250328658</v>
      </c>
      <c r="Y368">
        <v>16</v>
      </c>
    </row>
    <row r="369" spans="1:25" hidden="1" x14ac:dyDescent="0.25">
      <c r="A369" t="str">
        <f t="shared" si="5"/>
        <v>2022_Vic_Ouyen_Chickpea_SatelliteTOSTOS2VarietyStrikerWaterTrtRainFed</v>
      </c>
      <c r="B369">
        <v>2022011</v>
      </c>
      <c r="C369" t="s">
        <v>56</v>
      </c>
      <c r="D369">
        <v>6</v>
      </c>
      <c r="E369" t="s">
        <v>34</v>
      </c>
      <c r="F369" t="s">
        <v>125</v>
      </c>
      <c r="G369" t="s">
        <v>30</v>
      </c>
      <c r="I369">
        <v>2</v>
      </c>
      <c r="J369" t="s">
        <v>58</v>
      </c>
      <c r="K369" s="1">
        <v>44924</v>
      </c>
      <c r="L369">
        <v>635.5</v>
      </c>
      <c r="M369">
        <v>74</v>
      </c>
      <c r="N369">
        <v>0.16305325404837001</v>
      </c>
      <c r="O369">
        <v>2.5000000000000001E-2</v>
      </c>
      <c r="R369">
        <v>26.3</v>
      </c>
      <c r="S369">
        <v>4.5999999999999996</v>
      </c>
      <c r="T369">
        <v>177.875897707587</v>
      </c>
      <c r="U369">
        <v>70</v>
      </c>
      <c r="V369">
        <v>195.1</v>
      </c>
      <c r="W369">
        <v>13</v>
      </c>
      <c r="X369">
        <v>103.547342544963</v>
      </c>
      <c r="Y369">
        <v>16</v>
      </c>
    </row>
    <row r="370" spans="1:25" hidden="1" x14ac:dyDescent="0.25">
      <c r="A370" t="str">
        <f t="shared" si="5"/>
        <v>2022_NSW_RankinsSprings_Chickpea_SatelliteTOSTOS1VarietyCBA_CaptainWaterTrtRainFed</v>
      </c>
      <c r="B370">
        <v>2022012</v>
      </c>
      <c r="C370" t="s">
        <v>59</v>
      </c>
      <c r="D370">
        <v>6</v>
      </c>
      <c r="E370" t="s">
        <v>34</v>
      </c>
      <c r="F370" t="s">
        <v>26</v>
      </c>
      <c r="G370" t="s">
        <v>30</v>
      </c>
      <c r="I370">
        <v>1</v>
      </c>
      <c r="J370" t="s">
        <v>60</v>
      </c>
      <c r="K370" s="1">
        <v>44930</v>
      </c>
      <c r="L370">
        <v>1648.1</v>
      </c>
      <c r="M370">
        <v>150</v>
      </c>
      <c r="N370">
        <v>0.2</v>
      </c>
      <c r="O370">
        <v>2.5999999999999999E-2</v>
      </c>
      <c r="R370">
        <v>39</v>
      </c>
      <c r="S370">
        <v>2.7</v>
      </c>
      <c r="T370">
        <v>1318.5</v>
      </c>
      <c r="U370">
        <v>250</v>
      </c>
      <c r="V370">
        <v>220.2</v>
      </c>
      <c r="W370">
        <v>10</v>
      </c>
      <c r="X370">
        <v>286</v>
      </c>
      <c r="Y370">
        <v>57</v>
      </c>
    </row>
    <row r="371" spans="1:25" hidden="1" x14ac:dyDescent="0.25">
      <c r="A371" t="str">
        <f t="shared" si="5"/>
        <v>2022_NSW_RankinsSprings_Chickpea_SatelliteTOSTOS2VarietyCBA_CaptainWaterTrtRainFed</v>
      </c>
      <c r="B371">
        <v>2022012</v>
      </c>
      <c r="C371" t="s">
        <v>59</v>
      </c>
      <c r="D371">
        <v>6</v>
      </c>
      <c r="E371" t="s">
        <v>34</v>
      </c>
      <c r="F371" t="s">
        <v>26</v>
      </c>
      <c r="G371" t="s">
        <v>30</v>
      </c>
      <c r="I371">
        <v>2</v>
      </c>
      <c r="J371" t="s">
        <v>61</v>
      </c>
      <c r="K371" s="1">
        <v>44930</v>
      </c>
      <c r="L371">
        <v>1230.5999999999999</v>
      </c>
      <c r="M371">
        <v>150</v>
      </c>
      <c r="N371">
        <v>0.3</v>
      </c>
      <c r="O371">
        <v>2.5999999999999999E-2</v>
      </c>
      <c r="R371">
        <v>40.200000000000003</v>
      </c>
      <c r="S371">
        <v>2.7</v>
      </c>
      <c r="T371">
        <v>1405.4</v>
      </c>
      <c r="U371">
        <v>250</v>
      </c>
      <c r="V371">
        <v>219.3</v>
      </c>
      <c r="W371">
        <v>10</v>
      </c>
      <c r="X371">
        <v>311</v>
      </c>
      <c r="Y371">
        <v>57</v>
      </c>
    </row>
    <row r="372" spans="1:25" hidden="1" x14ac:dyDescent="0.25">
      <c r="A372" t="str">
        <f t="shared" si="5"/>
        <v>2022_NSW_RankinsSprings_Chickpea_SatelliteTOSTOS1VarietyBoundaryWaterTrtRainFed</v>
      </c>
      <c r="B372">
        <v>2022012</v>
      </c>
      <c r="C372" t="s">
        <v>59</v>
      </c>
      <c r="D372">
        <v>6</v>
      </c>
      <c r="E372" t="s">
        <v>34</v>
      </c>
      <c r="F372" t="s">
        <v>135</v>
      </c>
      <c r="G372" t="s">
        <v>30</v>
      </c>
      <c r="I372">
        <v>1</v>
      </c>
      <c r="J372" t="s">
        <v>60</v>
      </c>
      <c r="K372" s="1">
        <v>44930</v>
      </c>
      <c r="L372">
        <v>1353.7</v>
      </c>
      <c r="M372">
        <v>150</v>
      </c>
      <c r="N372">
        <v>0.2</v>
      </c>
      <c r="O372">
        <v>2.5999999999999999E-2</v>
      </c>
      <c r="R372">
        <v>32.1</v>
      </c>
      <c r="S372">
        <v>2.7</v>
      </c>
      <c r="T372">
        <v>1219</v>
      </c>
      <c r="U372">
        <v>250</v>
      </c>
      <c r="V372">
        <v>205.5</v>
      </c>
      <c r="W372">
        <v>10</v>
      </c>
      <c r="X372">
        <v>257</v>
      </c>
      <c r="Y372">
        <v>57</v>
      </c>
    </row>
    <row r="373" spans="1:25" hidden="1" x14ac:dyDescent="0.25">
      <c r="A373" t="str">
        <f t="shared" si="5"/>
        <v>2022_NSW_RankinsSprings_Chickpea_SatelliteTOSTOS2VarietyBoundaryWaterTrtRainFed</v>
      </c>
      <c r="B373">
        <v>2022012</v>
      </c>
      <c r="C373" t="s">
        <v>59</v>
      </c>
      <c r="D373">
        <v>6</v>
      </c>
      <c r="E373" t="s">
        <v>34</v>
      </c>
      <c r="F373" t="s">
        <v>135</v>
      </c>
      <c r="G373" t="s">
        <v>30</v>
      </c>
      <c r="I373">
        <v>2</v>
      </c>
      <c r="J373" t="s">
        <v>61</v>
      </c>
      <c r="K373" s="1">
        <v>44930</v>
      </c>
      <c r="L373">
        <v>1049.5999999999999</v>
      </c>
      <c r="M373">
        <v>150</v>
      </c>
      <c r="N373">
        <v>0.2</v>
      </c>
      <c r="O373">
        <v>2.5999999999999999E-2</v>
      </c>
      <c r="R373">
        <v>40.4</v>
      </c>
      <c r="S373">
        <v>2.7</v>
      </c>
      <c r="T373">
        <v>1222.2</v>
      </c>
      <c r="U373">
        <v>250</v>
      </c>
      <c r="V373">
        <v>208.7</v>
      </c>
      <c r="W373">
        <v>10</v>
      </c>
      <c r="X373">
        <v>250</v>
      </c>
      <c r="Y373">
        <v>57</v>
      </c>
    </row>
    <row r="374" spans="1:25" hidden="1" x14ac:dyDescent="0.25">
      <c r="A374" t="str">
        <f t="shared" si="5"/>
        <v>2022_NSW_RankinsSprings_Chickpea_SatelliteTOSTOS1VarietyDrummondWaterTrtRainFed</v>
      </c>
      <c r="B374">
        <v>2022012</v>
      </c>
      <c r="C374" t="s">
        <v>59</v>
      </c>
      <c r="D374">
        <v>6</v>
      </c>
      <c r="E374" t="s">
        <v>34</v>
      </c>
      <c r="F374" t="s">
        <v>123</v>
      </c>
      <c r="G374" t="s">
        <v>30</v>
      </c>
      <c r="I374">
        <v>1</v>
      </c>
      <c r="J374" t="s">
        <v>60</v>
      </c>
      <c r="K374" s="1">
        <v>44930</v>
      </c>
      <c r="L374">
        <v>1382.5</v>
      </c>
      <c r="M374">
        <v>150</v>
      </c>
      <c r="N374">
        <v>0.1</v>
      </c>
      <c r="O374">
        <v>2.5999999999999999E-2</v>
      </c>
      <c r="R374">
        <v>38.1</v>
      </c>
      <c r="S374">
        <v>2.7</v>
      </c>
      <c r="T374">
        <v>719.5</v>
      </c>
      <c r="U374">
        <v>250</v>
      </c>
      <c r="V374">
        <v>220.9</v>
      </c>
      <c r="W374">
        <v>10</v>
      </c>
      <c r="X374">
        <v>160</v>
      </c>
      <c r="Y374">
        <v>57</v>
      </c>
    </row>
    <row r="375" spans="1:25" hidden="1" x14ac:dyDescent="0.25">
      <c r="A375" t="str">
        <f t="shared" si="5"/>
        <v>2022_NSW_RankinsSprings_Chickpea_SatelliteTOSTOS2VarietyDrummondWaterTrtRainFed</v>
      </c>
      <c r="B375">
        <v>2022012</v>
      </c>
      <c r="C375" t="s">
        <v>59</v>
      </c>
      <c r="D375">
        <v>6</v>
      </c>
      <c r="E375" t="s">
        <v>34</v>
      </c>
      <c r="F375" t="s">
        <v>123</v>
      </c>
      <c r="G375" t="s">
        <v>30</v>
      </c>
      <c r="I375">
        <v>2</v>
      </c>
      <c r="J375" t="s">
        <v>61</v>
      </c>
      <c r="K375" s="1">
        <v>44930</v>
      </c>
      <c r="L375">
        <v>1099.4000000000001</v>
      </c>
      <c r="M375">
        <v>150</v>
      </c>
      <c r="N375">
        <v>0.2</v>
      </c>
      <c r="O375">
        <v>2.5999999999999999E-2</v>
      </c>
      <c r="R375">
        <v>44.6</v>
      </c>
      <c r="S375">
        <v>2.7</v>
      </c>
      <c r="T375">
        <v>1092.8</v>
      </c>
      <c r="U375">
        <v>250</v>
      </c>
      <c r="V375">
        <v>202</v>
      </c>
      <c r="W375">
        <v>10</v>
      </c>
      <c r="X375">
        <v>231</v>
      </c>
      <c r="Y375">
        <v>57</v>
      </c>
    </row>
    <row r="376" spans="1:25" hidden="1" x14ac:dyDescent="0.25">
      <c r="A376" t="str">
        <f t="shared" si="5"/>
        <v>2022_NSW_RankinsSprings_Chickpea_SatelliteTOSTOS1VarietyHatTrickWaterTrtRainFed</v>
      </c>
      <c r="B376">
        <v>2022012</v>
      </c>
      <c r="C376" t="s">
        <v>59</v>
      </c>
      <c r="D376">
        <v>6</v>
      </c>
      <c r="E376" t="s">
        <v>34</v>
      </c>
      <c r="F376" t="s">
        <v>124</v>
      </c>
      <c r="G376" t="s">
        <v>30</v>
      </c>
      <c r="I376">
        <v>1</v>
      </c>
      <c r="J376" t="s">
        <v>60</v>
      </c>
      <c r="K376" s="1">
        <v>44930</v>
      </c>
      <c r="L376">
        <v>1272.0999999999999</v>
      </c>
      <c r="M376">
        <v>150</v>
      </c>
      <c r="N376">
        <v>0.1</v>
      </c>
      <c r="O376">
        <v>2.5999999999999999E-2</v>
      </c>
      <c r="R376">
        <v>36.200000000000003</v>
      </c>
      <c r="S376">
        <v>2.7</v>
      </c>
      <c r="T376">
        <v>820.2</v>
      </c>
      <c r="U376">
        <v>250</v>
      </c>
      <c r="V376">
        <v>189.1</v>
      </c>
      <c r="W376">
        <v>10</v>
      </c>
      <c r="X376">
        <v>158</v>
      </c>
      <c r="Y376">
        <v>57</v>
      </c>
    </row>
    <row r="377" spans="1:25" hidden="1" x14ac:dyDescent="0.25">
      <c r="A377" t="str">
        <f t="shared" si="5"/>
        <v>2022_NSW_RankinsSprings_Chickpea_SatelliteTOSTOS2VarietyHatTrickWaterTrtRainFed</v>
      </c>
      <c r="B377">
        <v>2022012</v>
      </c>
      <c r="C377" t="s">
        <v>59</v>
      </c>
      <c r="D377">
        <v>6</v>
      </c>
      <c r="E377" t="s">
        <v>34</v>
      </c>
      <c r="F377" t="s">
        <v>124</v>
      </c>
      <c r="G377" t="s">
        <v>30</v>
      </c>
      <c r="I377">
        <v>2</v>
      </c>
      <c r="J377" t="s">
        <v>61</v>
      </c>
      <c r="K377" s="1">
        <v>44930</v>
      </c>
      <c r="L377">
        <v>1075.8</v>
      </c>
      <c r="M377">
        <v>150</v>
      </c>
      <c r="N377">
        <v>0.2</v>
      </c>
      <c r="O377">
        <v>2.5999999999999999E-2</v>
      </c>
      <c r="R377">
        <v>36.200000000000003</v>
      </c>
      <c r="S377">
        <v>2.7</v>
      </c>
      <c r="T377">
        <v>1126.3</v>
      </c>
      <c r="U377">
        <v>250</v>
      </c>
      <c r="V377">
        <v>199.9</v>
      </c>
      <c r="W377">
        <v>10</v>
      </c>
      <c r="X377">
        <v>227</v>
      </c>
      <c r="Y377">
        <v>57</v>
      </c>
    </row>
    <row r="378" spans="1:25" hidden="1" x14ac:dyDescent="0.25">
      <c r="A378" t="str">
        <f t="shared" si="5"/>
        <v>2022_NSW_RankinsSprings_Chickpea_SatelliteTOSTOS1VarietySlasherWaterTrtRainFed</v>
      </c>
      <c r="B378">
        <v>2022012</v>
      </c>
      <c r="C378" t="s">
        <v>59</v>
      </c>
      <c r="D378">
        <v>6</v>
      </c>
      <c r="E378" t="s">
        <v>34</v>
      </c>
      <c r="F378" t="s">
        <v>136</v>
      </c>
      <c r="G378" t="s">
        <v>30</v>
      </c>
      <c r="I378">
        <v>1</v>
      </c>
      <c r="J378" t="s">
        <v>60</v>
      </c>
      <c r="K378" s="1">
        <v>44930</v>
      </c>
      <c r="L378">
        <v>1355.4</v>
      </c>
      <c r="M378">
        <v>150</v>
      </c>
      <c r="N378">
        <v>0.2</v>
      </c>
      <c r="O378">
        <v>2.5999999999999999E-2</v>
      </c>
      <c r="R378">
        <v>27.9</v>
      </c>
      <c r="S378">
        <v>2.7</v>
      </c>
      <c r="T378">
        <v>1140.5999999999999</v>
      </c>
      <c r="U378">
        <v>250</v>
      </c>
      <c r="V378">
        <v>202.1</v>
      </c>
      <c r="W378">
        <v>10</v>
      </c>
      <c r="X378">
        <v>233</v>
      </c>
      <c r="Y378">
        <v>57</v>
      </c>
    </row>
    <row r="379" spans="1:25" hidden="1" x14ac:dyDescent="0.25">
      <c r="A379" t="str">
        <f t="shared" si="5"/>
        <v>2022_NSW_RankinsSprings_Chickpea_SatelliteTOSTOS2VarietySlasherWaterTrtRainFed</v>
      </c>
      <c r="B379">
        <v>2022012</v>
      </c>
      <c r="C379" t="s">
        <v>59</v>
      </c>
      <c r="D379">
        <v>6</v>
      </c>
      <c r="E379" t="s">
        <v>34</v>
      </c>
      <c r="F379" t="s">
        <v>136</v>
      </c>
      <c r="G379" t="s">
        <v>30</v>
      </c>
      <c r="I379">
        <v>2</v>
      </c>
      <c r="J379" t="s">
        <v>61</v>
      </c>
      <c r="K379" s="1">
        <v>44930</v>
      </c>
      <c r="L379">
        <v>1154.2</v>
      </c>
      <c r="M379">
        <v>150</v>
      </c>
      <c r="N379">
        <v>0.2</v>
      </c>
      <c r="O379">
        <v>2.5999999999999999E-2</v>
      </c>
      <c r="R379">
        <v>39.200000000000003</v>
      </c>
      <c r="S379">
        <v>2.7</v>
      </c>
      <c r="T379">
        <v>1374.1</v>
      </c>
      <c r="U379">
        <v>250</v>
      </c>
      <c r="V379">
        <v>213.6</v>
      </c>
      <c r="W379">
        <v>10</v>
      </c>
      <c r="X379">
        <v>299</v>
      </c>
      <c r="Y379">
        <v>57</v>
      </c>
    </row>
    <row r="380" spans="1:25" hidden="1" x14ac:dyDescent="0.25">
      <c r="A380" t="str">
        <f t="shared" si="5"/>
        <v>2022_NSW_RankinsSprings_Chickpea_SatelliteTOSTOS1VarietyStrikerWaterTrtRainFed</v>
      </c>
      <c r="B380">
        <v>2022012</v>
      </c>
      <c r="C380" t="s">
        <v>59</v>
      </c>
      <c r="D380">
        <v>6</v>
      </c>
      <c r="E380" t="s">
        <v>34</v>
      </c>
      <c r="F380" t="s">
        <v>125</v>
      </c>
      <c r="G380" t="s">
        <v>30</v>
      </c>
      <c r="I380">
        <v>1</v>
      </c>
      <c r="J380" t="s">
        <v>60</v>
      </c>
      <c r="K380" s="1">
        <v>44930</v>
      </c>
      <c r="L380">
        <v>1489.7</v>
      </c>
      <c r="M380">
        <v>150</v>
      </c>
      <c r="N380">
        <v>0.2</v>
      </c>
      <c r="O380">
        <v>2.5999999999999999E-2</v>
      </c>
      <c r="R380">
        <v>29.4</v>
      </c>
      <c r="S380">
        <v>2.7</v>
      </c>
      <c r="T380">
        <v>1273.5999999999999</v>
      </c>
      <c r="U380">
        <v>250</v>
      </c>
      <c r="V380">
        <v>213.3</v>
      </c>
      <c r="W380">
        <v>10</v>
      </c>
      <c r="X380">
        <v>275</v>
      </c>
      <c r="Y380">
        <v>57</v>
      </c>
    </row>
    <row r="381" spans="1:25" hidden="1" x14ac:dyDescent="0.25">
      <c r="A381" t="str">
        <f t="shared" si="5"/>
        <v>2022_NSW_RankinsSprings_Chickpea_SatelliteTOSTOS2VarietyStrikerWaterTrtRainFed</v>
      </c>
      <c r="B381">
        <v>2022012</v>
      </c>
      <c r="C381" t="s">
        <v>59</v>
      </c>
      <c r="D381">
        <v>6</v>
      </c>
      <c r="E381" t="s">
        <v>34</v>
      </c>
      <c r="F381" t="s">
        <v>125</v>
      </c>
      <c r="G381" t="s">
        <v>30</v>
      </c>
      <c r="I381">
        <v>2</v>
      </c>
      <c r="J381" t="s">
        <v>61</v>
      </c>
      <c r="K381" s="1">
        <v>44930</v>
      </c>
      <c r="L381">
        <v>997.1</v>
      </c>
      <c r="M381">
        <v>150</v>
      </c>
      <c r="N381">
        <v>0.2</v>
      </c>
      <c r="O381">
        <v>2.5999999999999999E-2</v>
      </c>
      <c r="R381">
        <v>39.799999999999997</v>
      </c>
      <c r="S381">
        <v>2.7</v>
      </c>
      <c r="T381">
        <v>1068.3</v>
      </c>
      <c r="U381">
        <v>250</v>
      </c>
      <c r="V381">
        <v>217.8</v>
      </c>
      <c r="W381">
        <v>10</v>
      </c>
      <c r="X381">
        <v>231</v>
      </c>
      <c r="Y381">
        <v>57</v>
      </c>
    </row>
    <row r="382" spans="1:25" hidden="1" x14ac:dyDescent="0.25">
      <c r="A382" t="str">
        <f t="shared" si="5"/>
        <v>2022_SA_Warnertown_Fababean_SatelliteTOSTOS1VarietyAmberleyWaterTrtRainFedAgronomyDensity_0.66</v>
      </c>
      <c r="B382">
        <v>2022014</v>
      </c>
      <c r="C382" t="s">
        <v>62</v>
      </c>
      <c r="D382">
        <v>6</v>
      </c>
      <c r="E382" t="s">
        <v>34</v>
      </c>
      <c r="F382" t="s">
        <v>126</v>
      </c>
      <c r="G382" t="s">
        <v>30</v>
      </c>
      <c r="H382" t="s">
        <v>63</v>
      </c>
      <c r="I382">
        <v>1</v>
      </c>
      <c r="J382" t="s">
        <v>64</v>
      </c>
      <c r="K382" s="1">
        <v>44855</v>
      </c>
      <c r="L382">
        <v>890.2</v>
      </c>
      <c r="M382">
        <v>95</v>
      </c>
      <c r="N382">
        <v>0.6</v>
      </c>
      <c r="O382">
        <v>2.3E-2</v>
      </c>
      <c r="R382">
        <v>17.2</v>
      </c>
      <c r="S382">
        <v>2</v>
      </c>
      <c r="T382">
        <v>760.8</v>
      </c>
      <c r="U382">
        <v>94</v>
      </c>
      <c r="V382">
        <v>652.20000000000005</v>
      </c>
      <c r="W382">
        <v>18</v>
      </c>
      <c r="X382">
        <v>493</v>
      </c>
      <c r="Y382">
        <v>64</v>
      </c>
    </row>
    <row r="383" spans="1:25" hidden="1" x14ac:dyDescent="0.25">
      <c r="A383" t="str">
        <f t="shared" si="5"/>
        <v>2022_SA_Warnertown_Fababean_SatelliteTOSTOS2VarietyAmberleyWaterTrtRainFedAgronomyDensity_0.66</v>
      </c>
      <c r="B383">
        <v>2022014</v>
      </c>
      <c r="C383" t="s">
        <v>62</v>
      </c>
      <c r="D383">
        <v>6</v>
      </c>
      <c r="E383" t="s">
        <v>34</v>
      </c>
      <c r="F383" t="s">
        <v>126</v>
      </c>
      <c r="G383" t="s">
        <v>30</v>
      </c>
      <c r="H383" t="s">
        <v>63</v>
      </c>
      <c r="I383">
        <v>2</v>
      </c>
      <c r="J383" t="s">
        <v>39</v>
      </c>
      <c r="K383" s="1">
        <v>44862</v>
      </c>
      <c r="L383">
        <v>787.8</v>
      </c>
      <c r="M383">
        <v>96</v>
      </c>
      <c r="N383">
        <v>0.5</v>
      </c>
      <c r="O383">
        <v>2.3E-2</v>
      </c>
      <c r="R383">
        <v>15.9</v>
      </c>
      <c r="S383">
        <v>2</v>
      </c>
      <c r="T383">
        <v>637</v>
      </c>
      <c r="U383">
        <v>94</v>
      </c>
      <c r="V383">
        <v>660.9</v>
      </c>
      <c r="W383">
        <v>18</v>
      </c>
      <c r="X383">
        <v>422</v>
      </c>
      <c r="Y383">
        <v>64</v>
      </c>
    </row>
    <row r="384" spans="1:25" hidden="1" x14ac:dyDescent="0.25">
      <c r="A384" t="str">
        <f t="shared" si="5"/>
        <v>2022_SA_Warnertown_Fababean_SatelliteTOSTOS1VarietyAmberleyWaterTrtRainFedAgronomyDensity_1</v>
      </c>
      <c r="B384">
        <v>2022014</v>
      </c>
      <c r="C384" t="s">
        <v>62</v>
      </c>
      <c r="D384">
        <v>6</v>
      </c>
      <c r="E384" t="s">
        <v>34</v>
      </c>
      <c r="F384" t="s">
        <v>126</v>
      </c>
      <c r="G384" t="s">
        <v>30</v>
      </c>
      <c r="H384" t="s">
        <v>65</v>
      </c>
      <c r="I384">
        <v>1</v>
      </c>
      <c r="J384" t="s">
        <v>64</v>
      </c>
      <c r="K384" s="1">
        <v>44855</v>
      </c>
      <c r="L384">
        <v>850.4</v>
      </c>
      <c r="M384">
        <v>94</v>
      </c>
      <c r="N384">
        <v>0.5</v>
      </c>
      <c r="O384">
        <v>2.3E-2</v>
      </c>
      <c r="R384">
        <v>23.6</v>
      </c>
      <c r="S384">
        <v>2</v>
      </c>
      <c r="T384">
        <v>688.6</v>
      </c>
      <c r="U384">
        <v>93</v>
      </c>
      <c r="V384">
        <v>673.7</v>
      </c>
      <c r="W384">
        <v>18</v>
      </c>
      <c r="X384">
        <v>464</v>
      </c>
      <c r="Y384">
        <v>63</v>
      </c>
    </row>
    <row r="385" spans="1:25" hidden="1" x14ac:dyDescent="0.25">
      <c r="A385" t="str">
        <f t="shared" si="5"/>
        <v>2022_SA_Warnertown_Fababean_SatelliteTOSTOS2VarietyAmberleyWaterTrtRainFedAgronomyDensity_1</v>
      </c>
      <c r="B385">
        <v>2022014</v>
      </c>
      <c r="C385" t="s">
        <v>62</v>
      </c>
      <c r="D385">
        <v>6</v>
      </c>
      <c r="E385" t="s">
        <v>34</v>
      </c>
      <c r="F385" t="s">
        <v>126</v>
      </c>
      <c r="G385" t="s">
        <v>30</v>
      </c>
      <c r="H385" t="s">
        <v>65</v>
      </c>
      <c r="I385">
        <v>2</v>
      </c>
      <c r="J385" t="s">
        <v>39</v>
      </c>
      <c r="K385" s="1">
        <v>44862</v>
      </c>
      <c r="L385">
        <v>1018.2</v>
      </c>
      <c r="M385">
        <v>94</v>
      </c>
      <c r="N385">
        <v>0.5</v>
      </c>
      <c r="O385">
        <v>2.3E-2</v>
      </c>
      <c r="R385">
        <v>26.8</v>
      </c>
      <c r="S385">
        <v>2</v>
      </c>
      <c r="T385">
        <v>697</v>
      </c>
      <c r="U385">
        <v>93</v>
      </c>
      <c r="V385">
        <v>704.1</v>
      </c>
      <c r="W385">
        <v>18</v>
      </c>
      <c r="X385">
        <v>487</v>
      </c>
      <c r="Y385">
        <v>63</v>
      </c>
    </row>
    <row r="386" spans="1:25" hidden="1" x14ac:dyDescent="0.25">
      <c r="A386" t="str">
        <f t="shared" si="5"/>
        <v>2022_SA_Warnertown_Fababean_SatelliteTOSTOS1VarietyMarneWaterTrtRainFedAgronomyDensity_0.66</v>
      </c>
      <c r="B386">
        <v>2022014</v>
      </c>
      <c r="C386" t="s">
        <v>62</v>
      </c>
      <c r="D386">
        <v>6</v>
      </c>
      <c r="E386" t="s">
        <v>34</v>
      </c>
      <c r="F386" t="s">
        <v>127</v>
      </c>
      <c r="G386" t="s">
        <v>30</v>
      </c>
      <c r="H386" t="s">
        <v>63</v>
      </c>
      <c r="I386">
        <v>1</v>
      </c>
      <c r="J386" t="s">
        <v>64</v>
      </c>
      <c r="K386" s="1">
        <v>44855</v>
      </c>
      <c r="L386">
        <v>806.5</v>
      </c>
      <c r="M386">
        <v>94</v>
      </c>
      <c r="N386">
        <v>0.6</v>
      </c>
      <c r="O386">
        <v>2.3E-2</v>
      </c>
      <c r="R386">
        <v>15.2</v>
      </c>
      <c r="S386">
        <v>2</v>
      </c>
      <c r="T386">
        <v>623.20000000000005</v>
      </c>
      <c r="U386">
        <v>93</v>
      </c>
      <c r="V386">
        <v>781.5</v>
      </c>
      <c r="W386">
        <v>18</v>
      </c>
      <c r="X386">
        <v>484</v>
      </c>
      <c r="Y386">
        <v>63</v>
      </c>
    </row>
    <row r="387" spans="1:25" hidden="1" x14ac:dyDescent="0.25">
      <c r="A387" t="str">
        <f t="shared" ref="A387:A450" si="6">C387&amp;"TOSTOS"&amp;I387&amp;"Variety"&amp;F387&amp;"WaterTrt"&amp;G387&amp;IF(H387="","","Agronomy"&amp;H387)</f>
        <v>2022_SA_Warnertown_Fababean_SatelliteTOSTOS2VarietyMarneWaterTrtRainFedAgronomyDensity_0.66</v>
      </c>
      <c r="B387">
        <v>2022014</v>
      </c>
      <c r="C387" t="s">
        <v>62</v>
      </c>
      <c r="D387">
        <v>6</v>
      </c>
      <c r="E387" t="s">
        <v>34</v>
      </c>
      <c r="F387" t="s">
        <v>127</v>
      </c>
      <c r="G387" t="s">
        <v>30</v>
      </c>
      <c r="H387" t="s">
        <v>63</v>
      </c>
      <c r="I387">
        <v>2</v>
      </c>
      <c r="J387" t="s">
        <v>39</v>
      </c>
      <c r="K387" s="1">
        <v>44862</v>
      </c>
      <c r="L387">
        <v>949.6</v>
      </c>
      <c r="M387">
        <v>94</v>
      </c>
      <c r="N387">
        <v>0.6</v>
      </c>
      <c r="O387">
        <v>2.3E-2</v>
      </c>
      <c r="R387">
        <v>17.600000000000001</v>
      </c>
      <c r="S387">
        <v>2</v>
      </c>
      <c r="T387">
        <v>863.6</v>
      </c>
      <c r="U387">
        <v>93</v>
      </c>
      <c r="V387">
        <v>664.8</v>
      </c>
      <c r="W387">
        <v>18</v>
      </c>
      <c r="X387">
        <v>569</v>
      </c>
      <c r="Y387">
        <v>63</v>
      </c>
    </row>
    <row r="388" spans="1:25" hidden="1" x14ac:dyDescent="0.25">
      <c r="A388" t="str">
        <f t="shared" si="6"/>
        <v>2022_SA_Warnertown_Fababean_SatelliteTOSTOS1VarietyMarneWaterTrtRainFedAgronomyDensity_1</v>
      </c>
      <c r="B388">
        <v>2022014</v>
      </c>
      <c r="C388" t="s">
        <v>62</v>
      </c>
      <c r="D388">
        <v>6</v>
      </c>
      <c r="E388" t="s">
        <v>34</v>
      </c>
      <c r="F388" t="s">
        <v>127</v>
      </c>
      <c r="G388" t="s">
        <v>30</v>
      </c>
      <c r="H388" t="s">
        <v>65</v>
      </c>
      <c r="I388">
        <v>1</v>
      </c>
      <c r="J388" t="s">
        <v>64</v>
      </c>
      <c r="K388" s="1">
        <v>44855</v>
      </c>
      <c r="L388">
        <v>728.3</v>
      </c>
      <c r="M388">
        <v>94</v>
      </c>
      <c r="N388">
        <v>0.6</v>
      </c>
      <c r="O388">
        <v>2.3E-2</v>
      </c>
      <c r="R388">
        <v>23.7</v>
      </c>
      <c r="S388">
        <v>2</v>
      </c>
      <c r="T388">
        <v>564.9</v>
      </c>
      <c r="U388">
        <v>93</v>
      </c>
      <c r="V388">
        <v>797.9</v>
      </c>
      <c r="W388">
        <v>18</v>
      </c>
      <c r="X388">
        <v>452</v>
      </c>
      <c r="Y388">
        <v>63</v>
      </c>
    </row>
    <row r="389" spans="1:25" hidden="1" x14ac:dyDescent="0.25">
      <c r="A389" t="str">
        <f t="shared" si="6"/>
        <v>2022_SA_Warnertown_Fababean_SatelliteTOSTOS2VarietyMarneWaterTrtRainFedAgronomyDensity_1</v>
      </c>
      <c r="B389">
        <v>2022014</v>
      </c>
      <c r="C389" t="s">
        <v>62</v>
      </c>
      <c r="D389">
        <v>6</v>
      </c>
      <c r="E389" t="s">
        <v>34</v>
      </c>
      <c r="F389" t="s">
        <v>127</v>
      </c>
      <c r="G389" t="s">
        <v>30</v>
      </c>
      <c r="H389" t="s">
        <v>65</v>
      </c>
      <c r="I389">
        <v>2</v>
      </c>
      <c r="J389" t="s">
        <v>39</v>
      </c>
      <c r="K389" s="1">
        <v>44862</v>
      </c>
      <c r="L389">
        <v>859.5</v>
      </c>
      <c r="M389">
        <v>94</v>
      </c>
      <c r="N389">
        <v>0.6</v>
      </c>
      <c r="O389">
        <v>2.3E-2</v>
      </c>
      <c r="R389">
        <v>23.2</v>
      </c>
      <c r="S389">
        <v>2</v>
      </c>
      <c r="T389">
        <v>796.3</v>
      </c>
      <c r="U389">
        <v>93</v>
      </c>
      <c r="V389">
        <v>662</v>
      </c>
      <c r="W389">
        <v>18</v>
      </c>
      <c r="X389">
        <v>528</v>
      </c>
      <c r="Y389">
        <v>63</v>
      </c>
    </row>
    <row r="390" spans="1:25" hidden="1" x14ac:dyDescent="0.25">
      <c r="A390" t="str">
        <f t="shared" si="6"/>
        <v>2022_SA_Warnertown_Fababean_SatelliteTOSTOS1VarietyNasmaWaterTrtRainFedAgronomyDensity_1</v>
      </c>
      <c r="B390">
        <v>2022014</v>
      </c>
      <c r="C390" t="s">
        <v>62</v>
      </c>
      <c r="D390">
        <v>6</v>
      </c>
      <c r="E390" t="s">
        <v>34</v>
      </c>
      <c r="F390" t="s">
        <v>128</v>
      </c>
      <c r="G390" t="s">
        <v>30</v>
      </c>
      <c r="H390" t="s">
        <v>65</v>
      </c>
      <c r="I390">
        <v>1</v>
      </c>
      <c r="J390" t="s">
        <v>64</v>
      </c>
      <c r="K390" s="1">
        <v>44845</v>
      </c>
      <c r="L390">
        <v>522.6</v>
      </c>
      <c r="M390">
        <v>94</v>
      </c>
      <c r="N390">
        <v>0.6</v>
      </c>
      <c r="O390">
        <v>2.3E-2</v>
      </c>
      <c r="R390">
        <v>24.5</v>
      </c>
      <c r="S390">
        <v>2</v>
      </c>
      <c r="T390">
        <v>339.3</v>
      </c>
      <c r="U390">
        <v>93</v>
      </c>
      <c r="V390">
        <v>894</v>
      </c>
      <c r="W390">
        <v>18</v>
      </c>
      <c r="X390">
        <v>308</v>
      </c>
      <c r="Y390">
        <v>63</v>
      </c>
    </row>
    <row r="391" spans="1:25" hidden="1" x14ac:dyDescent="0.25">
      <c r="A391" t="str">
        <f t="shared" si="6"/>
        <v>2022_SA_Warnertown_Fababean_SatelliteTOSTOS2VarietyNasmaWaterTrtRainFedAgronomyDensity_1</v>
      </c>
      <c r="B391">
        <v>2022014</v>
      </c>
      <c r="C391" t="s">
        <v>62</v>
      </c>
      <c r="D391">
        <v>6</v>
      </c>
      <c r="E391" t="s">
        <v>34</v>
      </c>
      <c r="F391" t="s">
        <v>128</v>
      </c>
      <c r="G391" t="s">
        <v>30</v>
      </c>
      <c r="H391" t="s">
        <v>65</v>
      </c>
      <c r="I391">
        <v>2</v>
      </c>
      <c r="J391" t="s">
        <v>39</v>
      </c>
      <c r="K391" s="1">
        <v>44855</v>
      </c>
      <c r="L391">
        <v>858.6</v>
      </c>
      <c r="M391">
        <v>94</v>
      </c>
      <c r="N391">
        <v>0.6</v>
      </c>
      <c r="O391">
        <v>2.3E-2</v>
      </c>
      <c r="R391">
        <v>21.6</v>
      </c>
      <c r="S391">
        <v>2</v>
      </c>
      <c r="T391">
        <v>716.1</v>
      </c>
      <c r="U391">
        <v>93</v>
      </c>
      <c r="V391">
        <v>728.5</v>
      </c>
      <c r="W391">
        <v>18</v>
      </c>
      <c r="X391">
        <v>523</v>
      </c>
      <c r="Y391">
        <v>63</v>
      </c>
    </row>
    <row r="392" spans="1:25" hidden="1" x14ac:dyDescent="0.25">
      <c r="A392" t="str">
        <f t="shared" si="6"/>
        <v>2022_SA_Warnertown_Fababean_SatelliteTOSTOS1VarietySamiraWaterTrtRainFedAgronomyDensity_1</v>
      </c>
      <c r="B392">
        <v>2022014</v>
      </c>
      <c r="C392" t="s">
        <v>62</v>
      </c>
      <c r="D392">
        <v>6</v>
      </c>
      <c r="E392" t="s">
        <v>34</v>
      </c>
      <c r="F392" t="s">
        <v>129</v>
      </c>
      <c r="G392" t="s">
        <v>30</v>
      </c>
      <c r="H392" t="s">
        <v>65</v>
      </c>
      <c r="I392">
        <v>1</v>
      </c>
      <c r="J392" t="s">
        <v>64</v>
      </c>
      <c r="K392" s="1">
        <v>44855</v>
      </c>
      <c r="L392">
        <v>829.7</v>
      </c>
      <c r="M392">
        <v>95</v>
      </c>
      <c r="N392">
        <v>0.5</v>
      </c>
      <c r="O392">
        <v>2.3E-2</v>
      </c>
      <c r="R392">
        <v>22.1</v>
      </c>
      <c r="S392">
        <v>2</v>
      </c>
      <c r="T392">
        <v>610.1</v>
      </c>
      <c r="U392">
        <v>93</v>
      </c>
      <c r="V392">
        <v>686.8</v>
      </c>
      <c r="W392">
        <v>18</v>
      </c>
      <c r="X392">
        <v>419</v>
      </c>
      <c r="Y392">
        <v>64</v>
      </c>
    </row>
    <row r="393" spans="1:25" hidden="1" x14ac:dyDescent="0.25">
      <c r="A393" t="str">
        <f t="shared" si="6"/>
        <v>2022_SA_Warnertown_Fababean_SatelliteTOSTOS2VarietySamiraWaterTrtRainFedAgronomyDensity_1</v>
      </c>
      <c r="B393">
        <v>2022014</v>
      </c>
      <c r="C393" t="s">
        <v>62</v>
      </c>
      <c r="D393">
        <v>6</v>
      </c>
      <c r="E393" t="s">
        <v>34</v>
      </c>
      <c r="F393" t="s">
        <v>129</v>
      </c>
      <c r="G393" t="s">
        <v>30</v>
      </c>
      <c r="H393" t="s">
        <v>65</v>
      </c>
      <c r="I393">
        <v>2</v>
      </c>
      <c r="J393" t="s">
        <v>39</v>
      </c>
      <c r="K393" s="1">
        <v>44862</v>
      </c>
      <c r="L393">
        <v>1021.4</v>
      </c>
      <c r="M393">
        <v>96</v>
      </c>
      <c r="N393">
        <v>0.5</v>
      </c>
      <c r="O393">
        <v>2.3E-2</v>
      </c>
      <c r="R393">
        <v>24.6</v>
      </c>
      <c r="S393">
        <v>2</v>
      </c>
      <c r="T393">
        <v>753.8</v>
      </c>
      <c r="U393">
        <v>94</v>
      </c>
      <c r="V393">
        <v>675.5</v>
      </c>
      <c r="W393">
        <v>18</v>
      </c>
      <c r="X393">
        <v>505</v>
      </c>
      <c r="Y393">
        <v>64</v>
      </c>
    </row>
    <row r="394" spans="1:25" x14ac:dyDescent="0.25">
      <c r="A394" t="str">
        <f t="shared" si="6"/>
        <v>2022_NSW_Methul_Lentil_SatelliteTOSTOS1VarietyAceWaterTrtRainFed</v>
      </c>
      <c r="B394">
        <v>2022015</v>
      </c>
      <c r="C394" t="s">
        <v>66</v>
      </c>
      <c r="D394">
        <v>6</v>
      </c>
      <c r="E394" t="s">
        <v>34</v>
      </c>
      <c r="F394" t="s">
        <v>137</v>
      </c>
      <c r="G394" t="s">
        <v>30</v>
      </c>
      <c r="I394">
        <v>1</v>
      </c>
      <c r="J394" t="s">
        <v>50</v>
      </c>
      <c r="K394" s="1">
        <v>44903</v>
      </c>
      <c r="L394">
        <v>1147.5</v>
      </c>
      <c r="M394">
        <v>74</v>
      </c>
      <c r="N394">
        <v>0.3</v>
      </c>
      <c r="O394">
        <v>2.9000000000000001E-2</v>
      </c>
      <c r="R394">
        <v>95.3</v>
      </c>
      <c r="S394">
        <v>8.1</v>
      </c>
      <c r="T394">
        <v>10564.2</v>
      </c>
      <c r="U394">
        <v>900</v>
      </c>
      <c r="V394">
        <v>31.9</v>
      </c>
      <c r="W394">
        <v>1.7</v>
      </c>
      <c r="X394">
        <v>337</v>
      </c>
      <c r="Y394">
        <v>30</v>
      </c>
    </row>
    <row r="395" spans="1:25" x14ac:dyDescent="0.25">
      <c r="A395" t="str">
        <f t="shared" si="6"/>
        <v>2022_NSW_Methul_Lentil_SatelliteTOSTOS2VarietyAceWaterTrtRainFed</v>
      </c>
      <c r="B395">
        <v>2022015</v>
      </c>
      <c r="C395" t="s">
        <v>66</v>
      </c>
      <c r="D395">
        <v>6</v>
      </c>
      <c r="E395" t="s">
        <v>34</v>
      </c>
      <c r="F395" t="s">
        <v>137</v>
      </c>
      <c r="G395" t="s">
        <v>30</v>
      </c>
      <c r="I395">
        <v>2</v>
      </c>
      <c r="J395" t="s">
        <v>67</v>
      </c>
      <c r="K395" s="1">
        <v>44908</v>
      </c>
      <c r="L395">
        <v>961.9</v>
      </c>
      <c r="M395">
        <v>74</v>
      </c>
      <c r="N395">
        <v>0.4</v>
      </c>
      <c r="O395">
        <v>2.9000000000000001E-2</v>
      </c>
      <c r="R395">
        <v>82.1</v>
      </c>
      <c r="S395">
        <v>8.1</v>
      </c>
      <c r="T395">
        <v>9722.9</v>
      </c>
      <c r="U395">
        <v>900</v>
      </c>
      <c r="V395">
        <v>36.6</v>
      </c>
      <c r="W395">
        <v>1.7</v>
      </c>
      <c r="X395">
        <v>361</v>
      </c>
      <c r="Y395">
        <v>30</v>
      </c>
    </row>
    <row r="396" spans="1:25" x14ac:dyDescent="0.25">
      <c r="A396" t="str">
        <f t="shared" si="6"/>
        <v>2022_NSW_Methul_Lentil_SatelliteTOSTOS1VarietyBoltWaterTrtRainFed</v>
      </c>
      <c r="B396">
        <v>2022015</v>
      </c>
      <c r="C396" t="s">
        <v>66</v>
      </c>
      <c r="D396">
        <v>6</v>
      </c>
      <c r="E396" t="s">
        <v>34</v>
      </c>
      <c r="F396" t="s">
        <v>130</v>
      </c>
      <c r="G396" t="s">
        <v>30</v>
      </c>
      <c r="I396">
        <v>1</v>
      </c>
      <c r="J396" t="s">
        <v>50</v>
      </c>
      <c r="K396" s="1">
        <v>44903</v>
      </c>
      <c r="L396">
        <v>732.9</v>
      </c>
      <c r="M396">
        <v>74</v>
      </c>
      <c r="N396">
        <v>0.4</v>
      </c>
      <c r="O396">
        <v>2.9000000000000001E-2</v>
      </c>
      <c r="R396">
        <v>98.9</v>
      </c>
      <c r="S396">
        <v>8.1</v>
      </c>
      <c r="T396">
        <v>8363.7999999999993</v>
      </c>
      <c r="U396">
        <v>900</v>
      </c>
      <c r="V396">
        <v>32.6</v>
      </c>
      <c r="W396">
        <v>1.7</v>
      </c>
      <c r="X396">
        <v>261</v>
      </c>
      <c r="Y396">
        <v>30</v>
      </c>
    </row>
    <row r="397" spans="1:25" x14ac:dyDescent="0.25">
      <c r="A397" t="str">
        <f t="shared" si="6"/>
        <v>2022_NSW_Methul_Lentil_SatelliteTOSTOS2VarietyBoltWaterTrtRainFed</v>
      </c>
      <c r="B397">
        <v>2022015</v>
      </c>
      <c r="C397" t="s">
        <v>66</v>
      </c>
      <c r="D397">
        <v>6</v>
      </c>
      <c r="E397" t="s">
        <v>34</v>
      </c>
      <c r="F397" t="s">
        <v>130</v>
      </c>
      <c r="G397" t="s">
        <v>30</v>
      </c>
      <c r="I397">
        <v>2</v>
      </c>
      <c r="J397" t="s">
        <v>67</v>
      </c>
      <c r="K397" s="1">
        <v>44908</v>
      </c>
      <c r="L397">
        <v>836.9</v>
      </c>
      <c r="M397">
        <v>74</v>
      </c>
      <c r="N397">
        <v>0.4</v>
      </c>
      <c r="O397">
        <v>2.9000000000000001E-2</v>
      </c>
      <c r="R397">
        <v>95.5</v>
      </c>
      <c r="S397">
        <v>8.1</v>
      </c>
      <c r="T397">
        <v>9306.9</v>
      </c>
      <c r="U397">
        <v>900</v>
      </c>
      <c r="V397">
        <v>36.799999999999997</v>
      </c>
      <c r="W397">
        <v>1.7</v>
      </c>
      <c r="X397">
        <v>342</v>
      </c>
      <c r="Y397">
        <v>30</v>
      </c>
    </row>
    <row r="398" spans="1:25" x14ac:dyDescent="0.25">
      <c r="A398" t="str">
        <f t="shared" si="6"/>
        <v>2022_NSW_Methul_Lentil_SatelliteTOSTOS1VarietyGreenfieldWaterTrtRainFed</v>
      </c>
      <c r="B398">
        <v>2022015</v>
      </c>
      <c r="C398" t="s">
        <v>66</v>
      </c>
      <c r="D398">
        <v>6</v>
      </c>
      <c r="E398" t="s">
        <v>34</v>
      </c>
      <c r="F398" t="s">
        <v>138</v>
      </c>
      <c r="G398" t="s">
        <v>30</v>
      </c>
      <c r="I398">
        <v>1</v>
      </c>
      <c r="J398" t="s">
        <v>50</v>
      </c>
      <c r="K398" s="1">
        <v>44903</v>
      </c>
      <c r="L398">
        <v>646.9</v>
      </c>
      <c r="M398">
        <v>74</v>
      </c>
      <c r="N398">
        <v>0.4</v>
      </c>
      <c r="O398">
        <v>2.9000000000000001E-2</v>
      </c>
      <c r="R398">
        <v>110.6</v>
      </c>
      <c r="S398">
        <v>8.1</v>
      </c>
      <c r="T398">
        <v>7264.3</v>
      </c>
      <c r="U398">
        <v>900</v>
      </c>
      <c r="V398">
        <v>33.5</v>
      </c>
      <c r="W398">
        <v>1.7</v>
      </c>
      <c r="X398">
        <v>241</v>
      </c>
      <c r="Y398">
        <v>30</v>
      </c>
    </row>
    <row r="399" spans="1:25" x14ac:dyDescent="0.25">
      <c r="A399" t="str">
        <f t="shared" si="6"/>
        <v>2022_NSW_Methul_Lentil_SatelliteTOSTOS2VarietyGreenfieldWaterTrtRainFed</v>
      </c>
      <c r="B399">
        <v>2022015</v>
      </c>
      <c r="C399" t="s">
        <v>66</v>
      </c>
      <c r="D399">
        <v>6</v>
      </c>
      <c r="E399" t="s">
        <v>34</v>
      </c>
      <c r="F399" t="s">
        <v>138</v>
      </c>
      <c r="G399" t="s">
        <v>30</v>
      </c>
      <c r="I399">
        <v>2</v>
      </c>
      <c r="J399" t="s">
        <v>67</v>
      </c>
      <c r="K399" s="1">
        <v>44908</v>
      </c>
      <c r="L399">
        <v>717.9</v>
      </c>
      <c r="M399">
        <v>74</v>
      </c>
      <c r="N399">
        <v>0.4</v>
      </c>
      <c r="O399">
        <v>2.9000000000000001E-2</v>
      </c>
      <c r="R399">
        <v>98.1</v>
      </c>
      <c r="S399">
        <v>8.1</v>
      </c>
      <c r="T399">
        <v>7500.9</v>
      </c>
      <c r="U399">
        <v>900</v>
      </c>
      <c r="V399">
        <v>41.8</v>
      </c>
      <c r="W399">
        <v>1.7</v>
      </c>
      <c r="X399">
        <v>309</v>
      </c>
      <c r="Y399">
        <v>30</v>
      </c>
    </row>
    <row r="400" spans="1:25" x14ac:dyDescent="0.25">
      <c r="A400" t="str">
        <f t="shared" si="6"/>
        <v>2022_NSW_Methul_Lentil_SatelliteTOSTOS1VarietyHallmarkXTWaterTrtRainFed</v>
      </c>
      <c r="B400">
        <v>2022015</v>
      </c>
      <c r="C400" t="s">
        <v>66</v>
      </c>
      <c r="D400">
        <v>6</v>
      </c>
      <c r="E400" t="s">
        <v>34</v>
      </c>
      <c r="F400" t="s">
        <v>131</v>
      </c>
      <c r="G400" t="s">
        <v>30</v>
      </c>
      <c r="I400">
        <v>1</v>
      </c>
      <c r="J400" t="s">
        <v>50</v>
      </c>
      <c r="K400" s="1">
        <v>44903</v>
      </c>
      <c r="L400">
        <v>846.9</v>
      </c>
      <c r="M400">
        <v>74</v>
      </c>
      <c r="N400">
        <v>0.4</v>
      </c>
      <c r="O400">
        <v>2.9000000000000001E-2</v>
      </c>
      <c r="R400">
        <v>106.4</v>
      </c>
      <c r="S400">
        <v>8.1</v>
      </c>
      <c r="T400">
        <v>10296.299999999999</v>
      </c>
      <c r="U400">
        <v>900</v>
      </c>
      <c r="V400">
        <v>30.7</v>
      </c>
      <c r="W400">
        <v>1.7</v>
      </c>
      <c r="X400">
        <v>318</v>
      </c>
      <c r="Y400">
        <v>30</v>
      </c>
    </row>
    <row r="401" spans="1:25" x14ac:dyDescent="0.25">
      <c r="A401" t="str">
        <f t="shared" si="6"/>
        <v>2022_NSW_Methul_Lentil_SatelliteTOSTOS2VarietyHallmarkXTWaterTrtRainFed</v>
      </c>
      <c r="B401">
        <v>2022015</v>
      </c>
      <c r="C401" t="s">
        <v>66</v>
      </c>
      <c r="D401">
        <v>6</v>
      </c>
      <c r="E401" t="s">
        <v>34</v>
      </c>
      <c r="F401" t="s">
        <v>131</v>
      </c>
      <c r="G401" t="s">
        <v>30</v>
      </c>
      <c r="I401">
        <v>2</v>
      </c>
      <c r="J401" t="s">
        <v>67</v>
      </c>
      <c r="K401" s="1">
        <v>44908</v>
      </c>
      <c r="L401">
        <v>844.4</v>
      </c>
      <c r="M401">
        <v>74</v>
      </c>
      <c r="N401">
        <v>0.5</v>
      </c>
      <c r="O401">
        <v>2.9000000000000001E-2</v>
      </c>
      <c r="R401">
        <v>95.9</v>
      </c>
      <c r="S401">
        <v>8.1</v>
      </c>
      <c r="T401">
        <v>10524.3</v>
      </c>
      <c r="U401">
        <v>900</v>
      </c>
      <c r="V401">
        <v>36.4</v>
      </c>
      <c r="W401">
        <v>1.7</v>
      </c>
      <c r="X401">
        <v>382</v>
      </c>
      <c r="Y401">
        <v>30</v>
      </c>
    </row>
    <row r="402" spans="1:25" x14ac:dyDescent="0.25">
      <c r="A402" t="str">
        <f t="shared" si="6"/>
        <v>2022_NSW_Methul_Lentil_SatelliteTOSTOS1VarietyJumbo2WaterTrtRainFed</v>
      </c>
      <c r="B402">
        <v>2022015</v>
      </c>
      <c r="C402" t="s">
        <v>66</v>
      </c>
      <c r="D402">
        <v>6</v>
      </c>
      <c r="E402" t="s">
        <v>34</v>
      </c>
      <c r="F402" t="s">
        <v>132</v>
      </c>
      <c r="G402" t="s">
        <v>30</v>
      </c>
      <c r="I402">
        <v>1</v>
      </c>
      <c r="J402" t="s">
        <v>50</v>
      </c>
      <c r="K402" s="1">
        <v>44903</v>
      </c>
      <c r="L402">
        <v>868.1</v>
      </c>
      <c r="M402">
        <v>74</v>
      </c>
      <c r="N402">
        <v>0.4</v>
      </c>
      <c r="O402">
        <v>3.3000000000000002E-2</v>
      </c>
      <c r="R402">
        <v>103</v>
      </c>
      <c r="S402">
        <v>8.1</v>
      </c>
      <c r="T402">
        <v>9090.6</v>
      </c>
      <c r="U402">
        <v>1000</v>
      </c>
      <c r="V402">
        <v>37.6</v>
      </c>
      <c r="W402">
        <v>1.7</v>
      </c>
      <c r="X402">
        <v>347</v>
      </c>
      <c r="Y402">
        <v>34</v>
      </c>
    </row>
    <row r="403" spans="1:25" x14ac:dyDescent="0.25">
      <c r="A403" t="str">
        <f t="shared" si="6"/>
        <v>2022_NSW_Methul_Lentil_SatelliteTOSTOS2VarietyJumbo2WaterTrtRainFed</v>
      </c>
      <c r="B403">
        <v>2022015</v>
      </c>
      <c r="C403" t="s">
        <v>66</v>
      </c>
      <c r="D403">
        <v>6</v>
      </c>
      <c r="E403" t="s">
        <v>34</v>
      </c>
      <c r="F403" t="s">
        <v>132</v>
      </c>
      <c r="G403" t="s">
        <v>30</v>
      </c>
      <c r="I403">
        <v>2</v>
      </c>
      <c r="J403" t="s">
        <v>67</v>
      </c>
      <c r="K403" s="1">
        <v>44908</v>
      </c>
      <c r="L403">
        <v>966.9</v>
      </c>
      <c r="M403">
        <v>74</v>
      </c>
      <c r="N403">
        <v>0.4</v>
      </c>
      <c r="O403">
        <v>2.9000000000000001E-2</v>
      </c>
      <c r="R403">
        <v>97.6</v>
      </c>
      <c r="S403">
        <v>8.1</v>
      </c>
      <c r="T403">
        <v>8330.1</v>
      </c>
      <c r="U403">
        <v>900</v>
      </c>
      <c r="V403">
        <v>43.6</v>
      </c>
      <c r="W403">
        <v>1.7</v>
      </c>
      <c r="X403">
        <v>363</v>
      </c>
      <c r="Y403">
        <v>30</v>
      </c>
    </row>
    <row r="404" spans="1:25" x14ac:dyDescent="0.25">
      <c r="A404" t="str">
        <f t="shared" si="6"/>
        <v>2022_NSW_Methul_Lentil_SatelliteTOSTOS1VarietyKelpieXTWaterTrtRainFed</v>
      </c>
      <c r="B404">
        <v>2022015</v>
      </c>
      <c r="C404" t="s">
        <v>66</v>
      </c>
      <c r="D404">
        <v>6</v>
      </c>
      <c r="E404" t="s">
        <v>34</v>
      </c>
      <c r="F404" t="s">
        <v>133</v>
      </c>
      <c r="G404" t="s">
        <v>30</v>
      </c>
      <c r="I404">
        <v>1</v>
      </c>
      <c r="J404" t="s">
        <v>50</v>
      </c>
      <c r="K404" s="1">
        <v>44903</v>
      </c>
      <c r="L404">
        <v>872.7</v>
      </c>
      <c r="M404">
        <v>74</v>
      </c>
      <c r="N404">
        <v>0.4</v>
      </c>
      <c r="O404">
        <v>2.9000000000000001E-2</v>
      </c>
      <c r="R404">
        <v>103.8</v>
      </c>
      <c r="S404">
        <v>8.1</v>
      </c>
      <c r="T404">
        <v>8460.5</v>
      </c>
      <c r="U404">
        <v>900</v>
      </c>
      <c r="V404">
        <v>41.5</v>
      </c>
      <c r="W404">
        <v>1.7</v>
      </c>
      <c r="X404">
        <v>346</v>
      </c>
      <c r="Y404">
        <v>30</v>
      </c>
    </row>
    <row r="405" spans="1:25" x14ac:dyDescent="0.25">
      <c r="A405" t="str">
        <f t="shared" si="6"/>
        <v>2022_NSW_Methul_Lentil_SatelliteTOSTOS2VarietyKelpieXTWaterTrtRainFed</v>
      </c>
      <c r="B405">
        <v>2022015</v>
      </c>
      <c r="C405" t="s">
        <v>66</v>
      </c>
      <c r="D405">
        <v>6</v>
      </c>
      <c r="E405" t="s">
        <v>34</v>
      </c>
      <c r="F405" t="s">
        <v>133</v>
      </c>
      <c r="G405" t="s">
        <v>30</v>
      </c>
      <c r="I405">
        <v>2</v>
      </c>
      <c r="J405" t="s">
        <v>67</v>
      </c>
      <c r="K405" s="1">
        <v>44908</v>
      </c>
      <c r="L405">
        <v>906.2</v>
      </c>
      <c r="M405">
        <v>74</v>
      </c>
      <c r="N405">
        <v>0.5</v>
      </c>
      <c r="O405">
        <v>2.9000000000000001E-2</v>
      </c>
      <c r="R405">
        <v>100.9</v>
      </c>
      <c r="S405">
        <v>8.1</v>
      </c>
      <c r="T405">
        <v>10732</v>
      </c>
      <c r="U405">
        <v>900</v>
      </c>
      <c r="V405">
        <v>41.2</v>
      </c>
      <c r="W405">
        <v>1.7</v>
      </c>
      <c r="X405">
        <v>440</v>
      </c>
      <c r="Y405">
        <v>30</v>
      </c>
    </row>
    <row r="406" spans="1:25" hidden="1" x14ac:dyDescent="0.25">
      <c r="A406" t="str">
        <f t="shared" si="6"/>
        <v>2022_Vic_Ouyen_Lentil_SatelliteTOSTOS1VarietyGIA_LeaderWaterTrtRainFed</v>
      </c>
      <c r="B406">
        <v>2022016</v>
      </c>
      <c r="C406" t="s">
        <v>68</v>
      </c>
      <c r="D406">
        <v>6</v>
      </c>
      <c r="E406" t="s">
        <v>34</v>
      </c>
      <c r="F406" t="s">
        <v>69</v>
      </c>
      <c r="G406" t="s">
        <v>30</v>
      </c>
      <c r="I406">
        <v>1</v>
      </c>
      <c r="J406" t="s">
        <v>57</v>
      </c>
      <c r="K406" s="1">
        <v>44896</v>
      </c>
      <c r="L406">
        <v>388.392857142857</v>
      </c>
      <c r="M406">
        <v>11</v>
      </c>
      <c r="N406">
        <v>0.327549528465432</v>
      </c>
      <c r="O406">
        <v>3.3000000000000002E-2</v>
      </c>
      <c r="R406">
        <v>88.4</v>
      </c>
      <c r="S406">
        <v>5.7</v>
      </c>
      <c r="T406">
        <v>3616.7731365221298</v>
      </c>
      <c r="U406">
        <v>190</v>
      </c>
      <c r="V406">
        <v>35.1</v>
      </c>
      <c r="W406">
        <v>1.5</v>
      </c>
      <c r="X406">
        <v>127.336795902181</v>
      </c>
      <c r="Y406">
        <v>7.4</v>
      </c>
    </row>
    <row r="407" spans="1:25" hidden="1" x14ac:dyDescent="0.25">
      <c r="A407" t="str">
        <f t="shared" si="6"/>
        <v>2022_Vic_Ouyen_Lentil_SatelliteTOSTOS2VarietyGIA_LeaderWaterTrtRainFed</v>
      </c>
      <c r="B407">
        <v>2022016</v>
      </c>
      <c r="C407" t="s">
        <v>68</v>
      </c>
      <c r="D407">
        <v>6</v>
      </c>
      <c r="E407" t="s">
        <v>34</v>
      </c>
      <c r="F407" t="s">
        <v>69</v>
      </c>
      <c r="G407" t="s">
        <v>30</v>
      </c>
      <c r="I407">
        <v>2</v>
      </c>
      <c r="J407" t="s">
        <v>58</v>
      </c>
      <c r="K407" s="1">
        <v>44902</v>
      </c>
      <c r="L407">
        <v>341.96428571428601</v>
      </c>
      <c r="M407">
        <v>11</v>
      </c>
      <c r="N407">
        <v>0.27477961645530502</v>
      </c>
      <c r="O407">
        <v>3.3000000000000002E-2</v>
      </c>
      <c r="R407">
        <v>110.5</v>
      </c>
      <c r="S407">
        <v>5.7</v>
      </c>
      <c r="T407">
        <v>2574.4591346153902</v>
      </c>
      <c r="U407">
        <v>190</v>
      </c>
      <c r="V407">
        <v>36</v>
      </c>
      <c r="W407">
        <v>1.5</v>
      </c>
      <c r="X407">
        <v>93.273523351648294</v>
      </c>
      <c r="Y407">
        <v>7.4</v>
      </c>
    </row>
    <row r="408" spans="1:25" hidden="1" x14ac:dyDescent="0.25">
      <c r="A408" t="str">
        <f t="shared" si="6"/>
        <v>2022_Vic_Ouyen_Lentil_SatelliteTOSTOS1VarietyGIA_LightningWaterTrtRainFed</v>
      </c>
      <c r="B408">
        <v>2022016</v>
      </c>
      <c r="C408" t="s">
        <v>68</v>
      </c>
      <c r="D408">
        <v>6</v>
      </c>
      <c r="E408" t="s">
        <v>34</v>
      </c>
      <c r="F408" t="s">
        <v>70</v>
      </c>
      <c r="G408" t="s">
        <v>30</v>
      </c>
      <c r="I408">
        <v>1</v>
      </c>
      <c r="J408" t="s">
        <v>57</v>
      </c>
      <c r="K408" s="1">
        <v>44896</v>
      </c>
      <c r="L408">
        <v>461.607142857143</v>
      </c>
      <c r="M408">
        <v>11</v>
      </c>
      <c r="N408">
        <v>0.29920768974065598</v>
      </c>
      <c r="O408">
        <v>3.3000000000000002E-2</v>
      </c>
      <c r="R408">
        <v>89.3</v>
      </c>
      <c r="S408">
        <v>5.7</v>
      </c>
      <c r="T408">
        <v>5064.02585097254</v>
      </c>
      <c r="U408">
        <v>190</v>
      </c>
      <c r="V408">
        <v>27.4</v>
      </c>
      <c r="W408">
        <v>1.5</v>
      </c>
      <c r="X408">
        <v>138.89347104599099</v>
      </c>
      <c r="Y408">
        <v>7.4</v>
      </c>
    </row>
    <row r="409" spans="1:25" hidden="1" x14ac:dyDescent="0.25">
      <c r="A409" t="str">
        <f t="shared" si="6"/>
        <v>2022_Vic_Ouyen_Lentil_SatelliteTOSTOS2VarietyGIA_LightningWaterTrtRainFed</v>
      </c>
      <c r="B409">
        <v>2022016</v>
      </c>
      <c r="C409" t="s">
        <v>68</v>
      </c>
      <c r="D409">
        <v>6</v>
      </c>
      <c r="E409" t="s">
        <v>34</v>
      </c>
      <c r="F409" t="s">
        <v>70</v>
      </c>
      <c r="G409" t="s">
        <v>30</v>
      </c>
      <c r="I409">
        <v>2</v>
      </c>
      <c r="J409" t="s">
        <v>58</v>
      </c>
      <c r="K409" s="1">
        <v>44902</v>
      </c>
      <c r="L409">
        <v>385.71428571428601</v>
      </c>
      <c r="M409">
        <v>12</v>
      </c>
      <c r="N409">
        <v>0.24273712598066</v>
      </c>
      <c r="O409">
        <v>3.7999999999999999E-2</v>
      </c>
      <c r="R409">
        <v>118.1</v>
      </c>
      <c r="S409">
        <v>5.7</v>
      </c>
      <c r="T409">
        <v>2862.76683087028</v>
      </c>
      <c r="U409">
        <v>220</v>
      </c>
      <c r="V409">
        <v>31.3</v>
      </c>
      <c r="W409">
        <v>1.5</v>
      </c>
      <c r="X409">
        <v>93.407224958949101</v>
      </c>
      <c r="Y409">
        <v>8.5</v>
      </c>
    </row>
    <row r="410" spans="1:25" x14ac:dyDescent="0.25">
      <c r="A410" t="str">
        <f t="shared" si="6"/>
        <v>2022_Vic_Ouyen_Lentil_SatelliteTOSTOS1VarietyBoltWaterTrtRainFed</v>
      </c>
      <c r="B410">
        <v>2022016</v>
      </c>
      <c r="C410" t="s">
        <v>68</v>
      </c>
      <c r="D410">
        <v>6</v>
      </c>
      <c r="E410" t="s">
        <v>34</v>
      </c>
      <c r="F410" t="s">
        <v>130</v>
      </c>
      <c r="G410" t="s">
        <v>30</v>
      </c>
      <c r="I410">
        <v>1</v>
      </c>
      <c r="J410" t="s">
        <v>57</v>
      </c>
      <c r="K410" s="1">
        <v>44876</v>
      </c>
      <c r="L410">
        <v>384.59821428571399</v>
      </c>
      <c r="M410">
        <v>11</v>
      </c>
      <c r="N410">
        <v>0.27025363851578998</v>
      </c>
      <c r="O410">
        <v>3.3000000000000002E-2</v>
      </c>
      <c r="R410">
        <v>90.5</v>
      </c>
      <c r="S410">
        <v>11</v>
      </c>
      <c r="T410">
        <v>3164.0807208449601</v>
      </c>
      <c r="U410">
        <v>190</v>
      </c>
      <c r="V410">
        <v>32.6</v>
      </c>
      <c r="W410">
        <v>1.5</v>
      </c>
      <c r="X410">
        <v>103.208618195787</v>
      </c>
      <c r="Y410">
        <v>7.4</v>
      </c>
    </row>
    <row r="411" spans="1:25" x14ac:dyDescent="0.25">
      <c r="A411" t="str">
        <f t="shared" si="6"/>
        <v>2022_Vic_Ouyen_Lentil_SatelliteTOSTOS2VarietyBoltWaterTrtRainFed</v>
      </c>
      <c r="B411">
        <v>2022016</v>
      </c>
      <c r="C411" t="s">
        <v>68</v>
      </c>
      <c r="D411">
        <v>6</v>
      </c>
      <c r="E411" t="s">
        <v>34</v>
      </c>
      <c r="F411" t="s">
        <v>130</v>
      </c>
      <c r="G411" t="s">
        <v>30</v>
      </c>
      <c r="I411">
        <v>2</v>
      </c>
      <c r="J411" t="s">
        <v>58</v>
      </c>
      <c r="K411" s="1">
        <v>44902</v>
      </c>
      <c r="L411">
        <v>329.455357142857</v>
      </c>
      <c r="M411">
        <v>12</v>
      </c>
      <c r="N411">
        <v>0.25179989268564401</v>
      </c>
      <c r="O411">
        <v>3.7999999999999999E-2</v>
      </c>
      <c r="R411">
        <v>102.2</v>
      </c>
      <c r="S411">
        <v>5.7</v>
      </c>
      <c r="T411">
        <v>2590.3797772446101</v>
      </c>
      <c r="U411">
        <v>220</v>
      </c>
      <c r="V411">
        <v>34.4</v>
      </c>
      <c r="W411">
        <v>1.5</v>
      </c>
      <c r="X411">
        <v>83.255404135338296</v>
      </c>
      <c r="Y411">
        <v>8.5</v>
      </c>
    </row>
    <row r="412" spans="1:25" x14ac:dyDescent="0.25">
      <c r="A412" t="str">
        <f t="shared" si="6"/>
        <v>2022_Vic_Ouyen_Lentil_SatelliteTOSTOS1VarietyHallmarkXTWaterTrtRainFed</v>
      </c>
      <c r="B412">
        <v>2022016</v>
      </c>
      <c r="C412" t="s">
        <v>68</v>
      </c>
      <c r="D412">
        <v>6</v>
      </c>
      <c r="E412" t="s">
        <v>34</v>
      </c>
      <c r="F412" t="s">
        <v>131</v>
      </c>
      <c r="G412" t="s">
        <v>30</v>
      </c>
      <c r="I412">
        <v>1</v>
      </c>
      <c r="J412" t="s">
        <v>57</v>
      </c>
      <c r="K412" s="1">
        <v>44896</v>
      </c>
      <c r="L412">
        <v>472.09821428571399</v>
      </c>
      <c r="M412">
        <v>11</v>
      </c>
      <c r="N412">
        <v>0.37099005694657899</v>
      </c>
      <c r="O412">
        <v>3.3000000000000002E-2</v>
      </c>
      <c r="R412">
        <v>87.7</v>
      </c>
      <c r="S412">
        <v>5.7</v>
      </c>
      <c r="T412">
        <v>5511.8310973377002</v>
      </c>
      <c r="U412">
        <v>190</v>
      </c>
      <c r="V412">
        <v>32.700000000000003</v>
      </c>
      <c r="W412">
        <v>1.5</v>
      </c>
      <c r="X412">
        <v>177.688306155193</v>
      </c>
      <c r="Y412">
        <v>7.4</v>
      </c>
    </row>
    <row r="413" spans="1:25" x14ac:dyDescent="0.25">
      <c r="A413" t="str">
        <f t="shared" si="6"/>
        <v>2022_Vic_Ouyen_Lentil_SatelliteTOSTOS2VarietyHallmarkXTWaterTrtRainFed</v>
      </c>
      <c r="B413">
        <v>2022016</v>
      </c>
      <c r="C413" t="s">
        <v>68</v>
      </c>
      <c r="D413">
        <v>6</v>
      </c>
      <c r="E413" t="s">
        <v>34</v>
      </c>
      <c r="F413" t="s">
        <v>131</v>
      </c>
      <c r="G413" t="s">
        <v>30</v>
      </c>
      <c r="I413">
        <v>2</v>
      </c>
      <c r="J413" t="s">
        <v>58</v>
      </c>
      <c r="K413" s="1">
        <v>44902</v>
      </c>
      <c r="L413">
        <v>439.955357142857</v>
      </c>
      <c r="M413">
        <v>11</v>
      </c>
      <c r="N413">
        <v>0.17617300724637699</v>
      </c>
      <c r="O413">
        <v>3.3000000000000002E-2</v>
      </c>
      <c r="R413">
        <v>109.2</v>
      </c>
      <c r="S413">
        <v>5.7</v>
      </c>
      <c r="T413">
        <v>2449.8991761559701</v>
      </c>
      <c r="U413">
        <v>190</v>
      </c>
      <c r="V413">
        <v>32.299999999999997</v>
      </c>
      <c r="W413">
        <v>1.5</v>
      </c>
      <c r="X413">
        <v>79.538366977225706</v>
      </c>
      <c r="Y413">
        <v>7.4</v>
      </c>
    </row>
    <row r="414" spans="1:25" x14ac:dyDescent="0.25">
      <c r="A414" t="str">
        <f t="shared" si="6"/>
        <v>2022_Vic_Ouyen_Lentil_SatelliteTOSTOS1VarietyJumbo2WaterTrtRainFed</v>
      </c>
      <c r="B414">
        <v>2022016</v>
      </c>
      <c r="C414" t="s">
        <v>68</v>
      </c>
      <c r="D414">
        <v>6</v>
      </c>
      <c r="E414" t="s">
        <v>34</v>
      </c>
      <c r="F414" t="s">
        <v>132</v>
      </c>
      <c r="G414" t="s">
        <v>30</v>
      </c>
      <c r="I414">
        <v>1</v>
      </c>
      <c r="J414" t="s">
        <v>57</v>
      </c>
      <c r="K414" s="1">
        <v>44883</v>
      </c>
      <c r="L414">
        <v>484.375</v>
      </c>
      <c r="M414">
        <v>12</v>
      </c>
      <c r="N414">
        <v>0.47928353658536599</v>
      </c>
      <c r="O414">
        <v>3.7999999999999999E-2</v>
      </c>
      <c r="R414">
        <v>133</v>
      </c>
      <c r="S414">
        <v>5.7</v>
      </c>
      <c r="T414">
        <v>5200.5141792489403</v>
      </c>
      <c r="U414">
        <v>220</v>
      </c>
      <c r="V414">
        <v>43.5</v>
      </c>
      <c r="W414">
        <v>1.8</v>
      </c>
      <c r="X414">
        <v>233.06655596689899</v>
      </c>
      <c r="Y414">
        <v>8.5</v>
      </c>
    </row>
    <row r="415" spans="1:25" x14ac:dyDescent="0.25">
      <c r="A415" t="str">
        <f t="shared" si="6"/>
        <v>2022_Vic_Ouyen_Lentil_SatelliteTOSTOS2VarietyJumbo2WaterTrtRainFed</v>
      </c>
      <c r="B415">
        <v>2022016</v>
      </c>
      <c r="C415" t="s">
        <v>68</v>
      </c>
      <c r="D415">
        <v>6</v>
      </c>
      <c r="E415" t="s">
        <v>34</v>
      </c>
      <c r="F415" t="s">
        <v>132</v>
      </c>
      <c r="G415" t="s">
        <v>30</v>
      </c>
      <c r="I415">
        <v>2</v>
      </c>
      <c r="J415" t="s">
        <v>58</v>
      </c>
      <c r="K415" s="1">
        <v>44902</v>
      </c>
      <c r="L415">
        <v>301.19047619047598</v>
      </c>
      <c r="M415">
        <v>12</v>
      </c>
      <c r="N415">
        <v>0.39921067821067802</v>
      </c>
      <c r="O415">
        <v>3.7999999999999999E-2</v>
      </c>
      <c r="R415">
        <v>95.8</v>
      </c>
      <c r="S415">
        <v>5.7</v>
      </c>
      <c r="T415">
        <v>2900.5232812822101</v>
      </c>
      <c r="U415">
        <v>220</v>
      </c>
      <c r="V415">
        <v>41.5</v>
      </c>
      <c r="W415">
        <v>1.8</v>
      </c>
      <c r="X415">
        <v>121.898077715935</v>
      </c>
      <c r="Y415">
        <v>8.5</v>
      </c>
    </row>
    <row r="416" spans="1:25" x14ac:dyDescent="0.25">
      <c r="A416" t="str">
        <f t="shared" si="6"/>
        <v>2022_Vic_Ouyen_Lentil_SatelliteTOSTOS1VarietyKelpieXTWaterTrtRainFed</v>
      </c>
      <c r="B416">
        <v>2022016</v>
      </c>
      <c r="C416" t="s">
        <v>68</v>
      </c>
      <c r="D416">
        <v>6</v>
      </c>
      <c r="E416" t="s">
        <v>34</v>
      </c>
      <c r="F416" t="s">
        <v>133</v>
      </c>
      <c r="G416" t="s">
        <v>30</v>
      </c>
      <c r="I416">
        <v>1</v>
      </c>
      <c r="J416" t="s">
        <v>57</v>
      </c>
      <c r="K416" s="1">
        <v>44876</v>
      </c>
      <c r="L416">
        <v>355.80357142857099</v>
      </c>
      <c r="M416">
        <v>11</v>
      </c>
      <c r="N416">
        <v>0.24556634833420499</v>
      </c>
      <c r="O416">
        <v>3.3000000000000002E-2</v>
      </c>
      <c r="R416">
        <v>80.599999999999994</v>
      </c>
      <c r="S416">
        <v>5.7</v>
      </c>
      <c r="T416">
        <v>2218.7518688794198</v>
      </c>
      <c r="U416">
        <v>190</v>
      </c>
      <c r="V416">
        <v>39.6</v>
      </c>
      <c r="W416">
        <v>1.5</v>
      </c>
      <c r="X416">
        <v>87.523346976153107</v>
      </c>
      <c r="Y416">
        <v>7.4</v>
      </c>
    </row>
    <row r="417" spans="1:25" x14ac:dyDescent="0.25">
      <c r="A417" t="str">
        <f t="shared" si="6"/>
        <v>2022_Vic_Ouyen_Lentil_SatelliteTOSTOS2VarietyKelpieXTWaterTrtRainFed</v>
      </c>
      <c r="B417">
        <v>2022016</v>
      </c>
      <c r="C417" t="s">
        <v>68</v>
      </c>
      <c r="D417">
        <v>6</v>
      </c>
      <c r="E417" t="s">
        <v>34</v>
      </c>
      <c r="F417" t="s">
        <v>133</v>
      </c>
      <c r="G417" t="s">
        <v>30</v>
      </c>
      <c r="I417">
        <v>2</v>
      </c>
      <c r="J417" t="s">
        <v>58</v>
      </c>
      <c r="K417" s="1">
        <v>44902</v>
      </c>
      <c r="L417">
        <v>382.8125</v>
      </c>
      <c r="M417">
        <v>11</v>
      </c>
      <c r="N417">
        <v>0.277714667531825</v>
      </c>
      <c r="O417">
        <v>3.3000000000000002E-2</v>
      </c>
      <c r="R417">
        <v>112.7</v>
      </c>
      <c r="S417">
        <v>5.7</v>
      </c>
      <c r="T417">
        <v>2468.0519208401802</v>
      </c>
      <c r="U417">
        <v>190</v>
      </c>
      <c r="V417">
        <v>42.5</v>
      </c>
      <c r="W417">
        <v>1.5</v>
      </c>
      <c r="X417">
        <v>104.938248323755</v>
      </c>
      <c r="Y417">
        <v>7.4</v>
      </c>
    </row>
    <row r="418" spans="1:25" x14ac:dyDescent="0.25">
      <c r="A418" t="str">
        <f t="shared" si="6"/>
        <v>2022_NSW_RankinsSprings_Lentil_SatelliteTOSTOS1VarietyAceWaterTrtRainFed</v>
      </c>
      <c r="B418">
        <v>2022017</v>
      </c>
      <c r="C418" t="s">
        <v>71</v>
      </c>
      <c r="D418">
        <v>6</v>
      </c>
      <c r="E418" t="s">
        <v>34</v>
      </c>
      <c r="F418" t="s">
        <v>137</v>
      </c>
      <c r="G418" t="s">
        <v>30</v>
      </c>
      <c r="I418">
        <v>1</v>
      </c>
      <c r="J418" t="s">
        <v>60</v>
      </c>
      <c r="K418" s="1">
        <v>44895</v>
      </c>
      <c r="L418">
        <v>984.2</v>
      </c>
      <c r="M418">
        <v>89</v>
      </c>
      <c r="N418">
        <v>0.2</v>
      </c>
      <c r="O418">
        <v>3.2000000000000001E-2</v>
      </c>
      <c r="R418">
        <v>108.5</v>
      </c>
      <c r="S418">
        <v>9</v>
      </c>
      <c r="T418">
        <v>5409.2</v>
      </c>
      <c r="U418">
        <v>960</v>
      </c>
      <c r="V418">
        <v>28.5</v>
      </c>
      <c r="W418">
        <v>1.9</v>
      </c>
      <c r="X418">
        <v>148</v>
      </c>
      <c r="Y418">
        <v>41</v>
      </c>
    </row>
    <row r="419" spans="1:25" x14ac:dyDescent="0.25">
      <c r="A419" t="str">
        <f t="shared" si="6"/>
        <v>2022_NSW_RankinsSprings_Lentil_SatelliteTOSTOS2VarietyAceWaterTrtRainFed</v>
      </c>
      <c r="B419">
        <v>2022017</v>
      </c>
      <c r="C419" t="s">
        <v>71</v>
      </c>
      <c r="D419">
        <v>6</v>
      </c>
      <c r="E419" t="s">
        <v>34</v>
      </c>
      <c r="F419" t="s">
        <v>137</v>
      </c>
      <c r="G419" t="s">
        <v>30</v>
      </c>
      <c r="I419">
        <v>2</v>
      </c>
      <c r="J419" t="s">
        <v>61</v>
      </c>
      <c r="K419" s="1">
        <v>44895</v>
      </c>
      <c r="L419">
        <v>722.5</v>
      </c>
      <c r="M419">
        <v>89</v>
      </c>
      <c r="N419">
        <v>0.4</v>
      </c>
      <c r="O419">
        <v>3.2000000000000001E-2</v>
      </c>
      <c r="R419">
        <v>107.5</v>
      </c>
      <c r="S419">
        <v>9</v>
      </c>
      <c r="T419">
        <v>8118.3</v>
      </c>
      <c r="U419">
        <v>960</v>
      </c>
      <c r="V419">
        <v>31.9</v>
      </c>
      <c r="W419">
        <v>1.9</v>
      </c>
      <c r="X419">
        <v>283</v>
      </c>
      <c r="Y419">
        <v>41</v>
      </c>
    </row>
    <row r="420" spans="1:25" x14ac:dyDescent="0.25">
      <c r="A420" t="str">
        <f t="shared" si="6"/>
        <v>2022_NSW_RankinsSprings_Lentil_SatelliteTOSTOS1VarietyBoltWaterTrtRainFed</v>
      </c>
      <c r="B420">
        <v>2022017</v>
      </c>
      <c r="C420" t="s">
        <v>71</v>
      </c>
      <c r="D420">
        <v>6</v>
      </c>
      <c r="E420" t="s">
        <v>34</v>
      </c>
      <c r="F420" t="s">
        <v>130</v>
      </c>
      <c r="G420" t="s">
        <v>30</v>
      </c>
      <c r="I420">
        <v>1</v>
      </c>
      <c r="J420" t="s">
        <v>60</v>
      </c>
      <c r="K420" s="1">
        <v>44895</v>
      </c>
      <c r="L420">
        <v>867.3</v>
      </c>
      <c r="M420">
        <v>89</v>
      </c>
      <c r="N420">
        <v>0.3</v>
      </c>
      <c r="O420">
        <v>3.2000000000000001E-2</v>
      </c>
      <c r="R420">
        <v>116.7</v>
      </c>
      <c r="S420">
        <v>9</v>
      </c>
      <c r="T420">
        <v>8883.6</v>
      </c>
      <c r="U420">
        <v>960</v>
      </c>
      <c r="V420">
        <v>30</v>
      </c>
      <c r="W420">
        <v>1.9</v>
      </c>
      <c r="X420">
        <v>289</v>
      </c>
      <c r="Y420">
        <v>41</v>
      </c>
    </row>
    <row r="421" spans="1:25" x14ac:dyDescent="0.25">
      <c r="A421" t="str">
        <f t="shared" si="6"/>
        <v>2022_NSW_RankinsSprings_Lentil_SatelliteTOSTOS2VarietyBoltWaterTrtRainFed</v>
      </c>
      <c r="B421">
        <v>2022017</v>
      </c>
      <c r="C421" t="s">
        <v>71</v>
      </c>
      <c r="D421">
        <v>6</v>
      </c>
      <c r="E421" t="s">
        <v>34</v>
      </c>
      <c r="F421" t="s">
        <v>130</v>
      </c>
      <c r="G421" t="s">
        <v>30</v>
      </c>
      <c r="I421">
        <v>2</v>
      </c>
      <c r="J421" t="s">
        <v>61</v>
      </c>
      <c r="K421" s="1">
        <v>44895</v>
      </c>
      <c r="L421">
        <v>560.5</v>
      </c>
      <c r="M421">
        <v>89</v>
      </c>
      <c r="N421">
        <v>0.3</v>
      </c>
      <c r="O421">
        <v>3.2000000000000001E-2</v>
      </c>
      <c r="R421">
        <v>127.5</v>
      </c>
      <c r="S421">
        <v>9</v>
      </c>
      <c r="T421">
        <v>5859.9</v>
      </c>
      <c r="U421">
        <v>960</v>
      </c>
      <c r="V421">
        <v>30.5</v>
      </c>
      <c r="W421">
        <v>1.9</v>
      </c>
      <c r="X421">
        <v>166</v>
      </c>
      <c r="Y421">
        <v>41</v>
      </c>
    </row>
    <row r="422" spans="1:25" x14ac:dyDescent="0.25">
      <c r="A422" t="str">
        <f t="shared" si="6"/>
        <v>2022_NSW_RankinsSprings_Lentil_SatelliteTOSTOS1VarietyGreenfieldWaterTrtRainFed</v>
      </c>
      <c r="B422">
        <v>2022017</v>
      </c>
      <c r="C422" t="s">
        <v>71</v>
      </c>
      <c r="D422">
        <v>6</v>
      </c>
      <c r="E422" t="s">
        <v>34</v>
      </c>
      <c r="F422" t="s">
        <v>138</v>
      </c>
      <c r="G422" t="s">
        <v>30</v>
      </c>
      <c r="I422">
        <v>1</v>
      </c>
      <c r="J422" t="s">
        <v>60</v>
      </c>
      <c r="K422" s="1">
        <v>44895</v>
      </c>
      <c r="L422">
        <v>820.1</v>
      </c>
      <c r="M422">
        <v>89</v>
      </c>
      <c r="N422">
        <v>0.3</v>
      </c>
      <c r="O422">
        <v>3.2000000000000001E-2</v>
      </c>
      <c r="R422">
        <v>117.7</v>
      </c>
      <c r="S422">
        <v>9</v>
      </c>
      <c r="T422">
        <v>7195.6</v>
      </c>
      <c r="U422">
        <v>960</v>
      </c>
      <c r="V422">
        <v>32.700000000000003</v>
      </c>
      <c r="W422">
        <v>1.9</v>
      </c>
      <c r="X422">
        <v>227</v>
      </c>
      <c r="Y422">
        <v>41</v>
      </c>
    </row>
    <row r="423" spans="1:25" x14ac:dyDescent="0.25">
      <c r="A423" t="str">
        <f t="shared" si="6"/>
        <v>2022_NSW_RankinsSprings_Lentil_SatelliteTOSTOS2VarietyGreenfieldWaterTrtRainFed</v>
      </c>
      <c r="B423">
        <v>2022017</v>
      </c>
      <c r="C423" t="s">
        <v>71</v>
      </c>
      <c r="D423">
        <v>6</v>
      </c>
      <c r="E423" t="s">
        <v>34</v>
      </c>
      <c r="F423" t="s">
        <v>138</v>
      </c>
      <c r="G423" t="s">
        <v>30</v>
      </c>
      <c r="I423">
        <v>2</v>
      </c>
      <c r="J423" t="s">
        <v>61</v>
      </c>
      <c r="K423" s="1">
        <v>44895</v>
      </c>
      <c r="L423">
        <v>693.5</v>
      </c>
      <c r="M423">
        <v>89</v>
      </c>
      <c r="N423">
        <v>0.3</v>
      </c>
      <c r="O423">
        <v>3.2000000000000001E-2</v>
      </c>
      <c r="R423">
        <v>117.9</v>
      </c>
      <c r="S423">
        <v>9</v>
      </c>
      <c r="T423">
        <v>6375.7</v>
      </c>
      <c r="U423">
        <v>960</v>
      </c>
      <c r="V423">
        <v>35.5</v>
      </c>
      <c r="W423">
        <v>1.9</v>
      </c>
      <c r="X423">
        <v>228</v>
      </c>
      <c r="Y423">
        <v>41</v>
      </c>
    </row>
    <row r="424" spans="1:25" x14ac:dyDescent="0.25">
      <c r="A424" t="str">
        <f t="shared" si="6"/>
        <v>2022_NSW_RankinsSprings_Lentil_SatelliteTOSTOS1VarietyHallmarkXTWaterTrtRainFed</v>
      </c>
      <c r="B424">
        <v>2022017</v>
      </c>
      <c r="C424" t="s">
        <v>71</v>
      </c>
      <c r="D424">
        <v>6</v>
      </c>
      <c r="E424" t="s">
        <v>34</v>
      </c>
      <c r="F424" t="s">
        <v>131</v>
      </c>
      <c r="G424" t="s">
        <v>30</v>
      </c>
      <c r="I424">
        <v>1</v>
      </c>
      <c r="J424" t="s">
        <v>60</v>
      </c>
      <c r="K424" s="1">
        <v>44895</v>
      </c>
      <c r="L424">
        <v>938.5</v>
      </c>
      <c r="M424">
        <v>89</v>
      </c>
      <c r="N424">
        <v>0.3</v>
      </c>
      <c r="O424">
        <v>3.2000000000000001E-2</v>
      </c>
      <c r="R424">
        <v>103.3</v>
      </c>
      <c r="S424">
        <v>9</v>
      </c>
      <c r="T424">
        <v>9927.5</v>
      </c>
      <c r="U424">
        <v>960</v>
      </c>
      <c r="V424">
        <v>29.7</v>
      </c>
      <c r="W424">
        <v>1.9</v>
      </c>
      <c r="X424">
        <v>290</v>
      </c>
      <c r="Y424">
        <v>41</v>
      </c>
    </row>
    <row r="425" spans="1:25" x14ac:dyDescent="0.25">
      <c r="A425" t="str">
        <f t="shared" si="6"/>
        <v>2022_NSW_RankinsSprings_Lentil_SatelliteTOSTOS2VarietyHallmarkXTWaterTrtRainFed</v>
      </c>
      <c r="B425">
        <v>2022017</v>
      </c>
      <c r="C425" t="s">
        <v>71</v>
      </c>
      <c r="D425">
        <v>6</v>
      </c>
      <c r="E425" t="s">
        <v>34</v>
      </c>
      <c r="F425" t="s">
        <v>131</v>
      </c>
      <c r="G425" t="s">
        <v>30</v>
      </c>
      <c r="I425">
        <v>2</v>
      </c>
      <c r="J425" t="s">
        <v>61</v>
      </c>
      <c r="K425" s="1">
        <v>44895</v>
      </c>
      <c r="L425">
        <v>652.70000000000005</v>
      </c>
      <c r="M425">
        <v>89</v>
      </c>
      <c r="N425">
        <v>0.4</v>
      </c>
      <c r="O425">
        <v>3.2000000000000001E-2</v>
      </c>
      <c r="R425">
        <v>123.1</v>
      </c>
      <c r="S425">
        <v>9</v>
      </c>
      <c r="T425">
        <v>7838.8</v>
      </c>
      <c r="U425">
        <v>960</v>
      </c>
      <c r="V425">
        <v>29.6</v>
      </c>
      <c r="W425">
        <v>1.9</v>
      </c>
      <c r="X425">
        <v>246</v>
      </c>
      <c r="Y425">
        <v>41</v>
      </c>
    </row>
    <row r="426" spans="1:25" x14ac:dyDescent="0.25">
      <c r="A426" t="str">
        <f t="shared" si="6"/>
        <v>2022_NSW_RankinsSprings_Lentil_SatelliteTOSTOS1VarietyJumbo2WaterTrtRainFed</v>
      </c>
      <c r="B426">
        <v>2022017</v>
      </c>
      <c r="C426" t="s">
        <v>71</v>
      </c>
      <c r="D426">
        <v>6</v>
      </c>
      <c r="E426" t="s">
        <v>34</v>
      </c>
      <c r="F426" t="s">
        <v>132</v>
      </c>
      <c r="G426" t="s">
        <v>30</v>
      </c>
      <c r="I426">
        <v>1</v>
      </c>
      <c r="J426" t="s">
        <v>60</v>
      </c>
      <c r="K426" s="1">
        <v>44895</v>
      </c>
      <c r="L426">
        <v>887.6</v>
      </c>
      <c r="M426">
        <v>89</v>
      </c>
      <c r="N426">
        <v>0.3</v>
      </c>
      <c r="O426">
        <v>3.2000000000000001E-2</v>
      </c>
      <c r="R426">
        <v>94.6</v>
      </c>
      <c r="S426">
        <v>9</v>
      </c>
      <c r="T426">
        <v>7583.4</v>
      </c>
      <c r="U426">
        <v>960</v>
      </c>
      <c r="V426">
        <v>36.1</v>
      </c>
      <c r="W426">
        <v>1.9</v>
      </c>
      <c r="X426">
        <v>270</v>
      </c>
      <c r="Y426">
        <v>41</v>
      </c>
    </row>
    <row r="427" spans="1:25" x14ac:dyDescent="0.25">
      <c r="A427" t="str">
        <f t="shared" si="6"/>
        <v>2022_NSW_RankinsSprings_Lentil_SatelliteTOSTOS2VarietyJumbo2WaterTrtRainFed</v>
      </c>
      <c r="B427">
        <v>2022017</v>
      </c>
      <c r="C427" t="s">
        <v>71</v>
      </c>
      <c r="D427">
        <v>6</v>
      </c>
      <c r="E427" t="s">
        <v>34</v>
      </c>
      <c r="F427" t="s">
        <v>132</v>
      </c>
      <c r="G427" t="s">
        <v>30</v>
      </c>
      <c r="I427">
        <v>2</v>
      </c>
      <c r="J427" t="s">
        <v>61</v>
      </c>
      <c r="K427" s="1">
        <v>44895</v>
      </c>
      <c r="L427">
        <v>731.3</v>
      </c>
      <c r="M427">
        <v>89</v>
      </c>
      <c r="N427">
        <v>0.4</v>
      </c>
      <c r="O427">
        <v>3.2000000000000001E-2</v>
      </c>
      <c r="R427">
        <v>124.4</v>
      </c>
      <c r="S427">
        <v>9</v>
      </c>
      <c r="T427">
        <v>7552.8</v>
      </c>
      <c r="U427">
        <v>960</v>
      </c>
      <c r="V427">
        <v>35.5</v>
      </c>
      <c r="W427">
        <v>1.9</v>
      </c>
      <c r="X427">
        <v>263</v>
      </c>
      <c r="Y427">
        <v>41</v>
      </c>
    </row>
    <row r="428" spans="1:25" x14ac:dyDescent="0.25">
      <c r="A428" t="str">
        <f t="shared" si="6"/>
        <v>2022_NSW_RankinsSprings_Lentil_SatelliteTOSTOS1VarietyKelpieXTWaterTrtRainFed</v>
      </c>
      <c r="B428">
        <v>2022017</v>
      </c>
      <c r="C428" t="s">
        <v>71</v>
      </c>
      <c r="D428">
        <v>6</v>
      </c>
      <c r="E428" t="s">
        <v>34</v>
      </c>
      <c r="F428" t="s">
        <v>133</v>
      </c>
      <c r="G428" t="s">
        <v>30</v>
      </c>
      <c r="I428">
        <v>1</v>
      </c>
      <c r="J428" t="s">
        <v>60</v>
      </c>
      <c r="K428" s="1">
        <v>44895</v>
      </c>
      <c r="L428">
        <v>764.9</v>
      </c>
      <c r="M428">
        <v>89</v>
      </c>
      <c r="N428">
        <v>0.4</v>
      </c>
      <c r="O428">
        <v>3.2000000000000001E-2</v>
      </c>
      <c r="R428">
        <v>109.8</v>
      </c>
      <c r="S428">
        <v>9</v>
      </c>
      <c r="T428">
        <v>8168.8</v>
      </c>
      <c r="U428">
        <v>960</v>
      </c>
      <c r="V428">
        <v>35.9</v>
      </c>
      <c r="W428">
        <v>1.9</v>
      </c>
      <c r="X428">
        <v>308</v>
      </c>
      <c r="Y428">
        <v>41</v>
      </c>
    </row>
    <row r="429" spans="1:25" x14ac:dyDescent="0.25">
      <c r="A429" t="str">
        <f t="shared" si="6"/>
        <v>2022_NSW_RankinsSprings_Lentil_SatelliteTOSTOS2VarietyKelpieXTWaterTrtRainFed</v>
      </c>
      <c r="B429">
        <v>2022017</v>
      </c>
      <c r="C429" t="s">
        <v>71</v>
      </c>
      <c r="D429">
        <v>6</v>
      </c>
      <c r="E429" t="s">
        <v>34</v>
      </c>
      <c r="F429" t="s">
        <v>133</v>
      </c>
      <c r="G429" t="s">
        <v>30</v>
      </c>
      <c r="I429">
        <v>2</v>
      </c>
      <c r="J429" t="s">
        <v>61</v>
      </c>
      <c r="K429" s="1">
        <v>44895</v>
      </c>
      <c r="L429">
        <v>532.20000000000005</v>
      </c>
      <c r="M429">
        <v>89</v>
      </c>
      <c r="N429">
        <v>0.4</v>
      </c>
      <c r="O429">
        <v>3.2000000000000001E-2</v>
      </c>
      <c r="R429">
        <v>112.5</v>
      </c>
      <c r="S429">
        <v>9</v>
      </c>
      <c r="T429">
        <v>6246.8</v>
      </c>
      <c r="U429">
        <v>960</v>
      </c>
      <c r="V429">
        <v>35</v>
      </c>
      <c r="W429">
        <v>1.9</v>
      </c>
      <c r="X429">
        <v>214</v>
      </c>
      <c r="Y429">
        <v>41</v>
      </c>
    </row>
    <row r="430" spans="1:25" x14ac:dyDescent="0.25">
      <c r="A430" t="str">
        <f t="shared" si="6"/>
        <v>2022_SA_Warnertown_Lentil_SatelliteTOSTOS1VarietyBoltWaterTrtRainFedAgronomyDensity_0.66</v>
      </c>
      <c r="B430">
        <v>2022018</v>
      </c>
      <c r="C430" t="s">
        <v>72</v>
      </c>
      <c r="D430">
        <v>6</v>
      </c>
      <c r="E430" t="s">
        <v>34</v>
      </c>
      <c r="F430" t="s">
        <v>130</v>
      </c>
      <c r="G430" t="s">
        <v>30</v>
      </c>
      <c r="H430" t="s">
        <v>63</v>
      </c>
      <c r="I430">
        <v>1</v>
      </c>
      <c r="J430" t="s">
        <v>64</v>
      </c>
      <c r="K430" s="1">
        <v>44845</v>
      </c>
      <c r="L430">
        <v>987.6</v>
      </c>
      <c r="M430">
        <v>51</v>
      </c>
      <c r="N430">
        <v>0.5</v>
      </c>
      <c r="O430">
        <v>1.4E-2</v>
      </c>
      <c r="R430">
        <v>72.099999999999994</v>
      </c>
      <c r="S430">
        <v>5.6</v>
      </c>
      <c r="T430">
        <v>10644.1</v>
      </c>
      <c r="U430">
        <v>660</v>
      </c>
      <c r="V430">
        <v>43.7</v>
      </c>
      <c r="W430">
        <v>0.72</v>
      </c>
      <c r="X430">
        <v>465</v>
      </c>
      <c r="Y430">
        <v>29</v>
      </c>
    </row>
    <row r="431" spans="1:25" x14ac:dyDescent="0.25">
      <c r="A431" t="str">
        <f t="shared" si="6"/>
        <v>2022_SA_Warnertown_Lentil_SatelliteTOSTOS2VarietyBoltWaterTrtRainFedAgronomyDensity_0.66</v>
      </c>
      <c r="B431">
        <v>2022018</v>
      </c>
      <c r="C431" t="s">
        <v>72</v>
      </c>
      <c r="D431">
        <v>6</v>
      </c>
      <c r="E431" t="s">
        <v>34</v>
      </c>
      <c r="F431" t="s">
        <v>130</v>
      </c>
      <c r="G431" t="s">
        <v>30</v>
      </c>
      <c r="H431" t="s">
        <v>63</v>
      </c>
      <c r="I431">
        <v>2</v>
      </c>
      <c r="J431" t="s">
        <v>39</v>
      </c>
      <c r="K431" s="1">
        <v>44855</v>
      </c>
      <c r="L431">
        <v>1044.0999999999999</v>
      </c>
      <c r="M431">
        <v>51</v>
      </c>
      <c r="N431">
        <v>0.4</v>
      </c>
      <c r="O431">
        <v>1.4E-2</v>
      </c>
      <c r="R431">
        <v>83.9</v>
      </c>
      <c r="S431">
        <v>5.6</v>
      </c>
      <c r="T431">
        <v>10530.6</v>
      </c>
      <c r="U431">
        <v>660</v>
      </c>
      <c r="V431">
        <v>40</v>
      </c>
      <c r="W431">
        <v>0.72</v>
      </c>
      <c r="X431">
        <v>421</v>
      </c>
      <c r="Y431">
        <v>29</v>
      </c>
    </row>
    <row r="432" spans="1:25" x14ac:dyDescent="0.25">
      <c r="A432" t="str">
        <f t="shared" si="6"/>
        <v>2022_SA_Warnertown_Lentil_SatelliteTOSTOS1VarietyBoltWaterTrtRainFedAgronomyDensity_1</v>
      </c>
      <c r="B432">
        <v>2022018</v>
      </c>
      <c r="C432" t="s">
        <v>72</v>
      </c>
      <c r="D432">
        <v>6</v>
      </c>
      <c r="E432" t="s">
        <v>34</v>
      </c>
      <c r="F432" t="s">
        <v>130</v>
      </c>
      <c r="G432" t="s">
        <v>30</v>
      </c>
      <c r="H432" t="s">
        <v>65</v>
      </c>
      <c r="I432">
        <v>1</v>
      </c>
      <c r="J432" t="s">
        <v>64</v>
      </c>
      <c r="K432" s="1">
        <v>44845</v>
      </c>
      <c r="L432">
        <v>1036.9000000000001</v>
      </c>
      <c r="M432">
        <v>51</v>
      </c>
      <c r="N432">
        <v>0.4</v>
      </c>
      <c r="O432">
        <v>1.4E-2</v>
      </c>
      <c r="R432">
        <v>116.5</v>
      </c>
      <c r="S432">
        <v>5.6</v>
      </c>
      <c r="T432">
        <v>9756.7999999999993</v>
      </c>
      <c r="U432">
        <v>660</v>
      </c>
      <c r="V432">
        <v>43.6</v>
      </c>
      <c r="W432">
        <v>0.72</v>
      </c>
      <c r="X432">
        <v>426</v>
      </c>
      <c r="Y432">
        <v>29</v>
      </c>
    </row>
    <row r="433" spans="1:25" x14ac:dyDescent="0.25">
      <c r="A433" t="str">
        <f t="shared" si="6"/>
        <v>2022_SA_Warnertown_Lentil_SatelliteTOSTOS2VarietyBoltWaterTrtRainFedAgronomyDensity_1</v>
      </c>
      <c r="B433">
        <v>2022018</v>
      </c>
      <c r="C433" t="s">
        <v>72</v>
      </c>
      <c r="D433">
        <v>6</v>
      </c>
      <c r="E433" t="s">
        <v>34</v>
      </c>
      <c r="F433" t="s">
        <v>130</v>
      </c>
      <c r="G433" t="s">
        <v>30</v>
      </c>
      <c r="H433" t="s">
        <v>65</v>
      </c>
      <c r="I433">
        <v>2</v>
      </c>
      <c r="J433" t="s">
        <v>39</v>
      </c>
      <c r="K433" s="1">
        <v>44855</v>
      </c>
      <c r="L433">
        <v>1207.8</v>
      </c>
      <c r="M433">
        <v>51</v>
      </c>
      <c r="N433">
        <v>0.4</v>
      </c>
      <c r="O433">
        <v>1.4E-2</v>
      </c>
      <c r="R433">
        <v>115.2</v>
      </c>
      <c r="S433">
        <v>5.6</v>
      </c>
      <c r="T433">
        <v>12773.9</v>
      </c>
      <c r="U433">
        <v>660</v>
      </c>
      <c r="V433">
        <v>40.200000000000003</v>
      </c>
      <c r="W433">
        <v>0.72</v>
      </c>
      <c r="X433">
        <v>514</v>
      </c>
      <c r="Y433">
        <v>29</v>
      </c>
    </row>
    <row r="434" spans="1:25" x14ac:dyDescent="0.25">
      <c r="A434" t="str">
        <f t="shared" si="6"/>
        <v>2022_SA_Warnertown_Lentil_SatelliteTOSTOS1VarietyHallmarkXTWaterTrtRainFedAgronomyDensity_1</v>
      </c>
      <c r="B434">
        <v>2022018</v>
      </c>
      <c r="C434" t="s">
        <v>72</v>
      </c>
      <c r="D434">
        <v>6</v>
      </c>
      <c r="E434" t="s">
        <v>34</v>
      </c>
      <c r="F434" t="s">
        <v>131</v>
      </c>
      <c r="G434" t="s">
        <v>30</v>
      </c>
      <c r="H434" t="s">
        <v>65</v>
      </c>
      <c r="I434">
        <v>1</v>
      </c>
      <c r="J434" t="s">
        <v>64</v>
      </c>
      <c r="K434" s="1">
        <v>44845</v>
      </c>
      <c r="L434">
        <v>1034.2</v>
      </c>
      <c r="M434">
        <v>51</v>
      </c>
      <c r="N434">
        <v>0.4</v>
      </c>
      <c r="O434">
        <v>1.4E-2</v>
      </c>
      <c r="R434">
        <v>119</v>
      </c>
      <c r="S434">
        <v>5.6</v>
      </c>
      <c r="T434">
        <v>10618.2</v>
      </c>
      <c r="U434">
        <v>660</v>
      </c>
      <c r="V434">
        <v>39.700000000000003</v>
      </c>
      <c r="W434">
        <v>0.72</v>
      </c>
      <c r="X434">
        <v>420</v>
      </c>
      <c r="Y434">
        <v>29</v>
      </c>
    </row>
    <row r="435" spans="1:25" x14ac:dyDescent="0.25">
      <c r="A435" t="str">
        <f t="shared" si="6"/>
        <v>2022_SA_Warnertown_Lentil_SatelliteTOSTOS2VarietyHallmarkXTWaterTrtRainFedAgronomyDensity_1</v>
      </c>
      <c r="B435">
        <v>2022018</v>
      </c>
      <c r="C435" t="s">
        <v>72</v>
      </c>
      <c r="D435">
        <v>6</v>
      </c>
      <c r="E435" t="s">
        <v>34</v>
      </c>
      <c r="F435" t="s">
        <v>131</v>
      </c>
      <c r="G435" t="s">
        <v>30</v>
      </c>
      <c r="H435" t="s">
        <v>65</v>
      </c>
      <c r="I435">
        <v>2</v>
      </c>
      <c r="J435" t="s">
        <v>39</v>
      </c>
      <c r="K435" s="1">
        <v>44855</v>
      </c>
      <c r="L435">
        <v>1139.2</v>
      </c>
      <c r="M435">
        <v>51</v>
      </c>
      <c r="N435">
        <v>0.4</v>
      </c>
      <c r="O435">
        <v>1.4E-2</v>
      </c>
      <c r="R435">
        <v>109.1</v>
      </c>
      <c r="S435">
        <v>5.6</v>
      </c>
      <c r="T435">
        <v>12712</v>
      </c>
      <c r="U435">
        <v>660</v>
      </c>
      <c r="V435">
        <v>37.299999999999997</v>
      </c>
      <c r="W435">
        <v>0.72</v>
      </c>
      <c r="X435">
        <v>475</v>
      </c>
      <c r="Y435">
        <v>29</v>
      </c>
    </row>
    <row r="436" spans="1:25" x14ac:dyDescent="0.25">
      <c r="A436" t="str">
        <f t="shared" si="6"/>
        <v>2022_SA_Warnertown_Lentil_SatelliteTOSTOS1VarietyJumbo2WaterTrtRainFedAgronomyDensity_0.66</v>
      </c>
      <c r="B436">
        <v>2022018</v>
      </c>
      <c r="C436" t="s">
        <v>72</v>
      </c>
      <c r="D436">
        <v>6</v>
      </c>
      <c r="E436" t="s">
        <v>34</v>
      </c>
      <c r="F436" t="s">
        <v>132</v>
      </c>
      <c r="G436" t="s">
        <v>30</v>
      </c>
      <c r="H436" t="s">
        <v>63</v>
      </c>
      <c r="I436">
        <v>1</v>
      </c>
      <c r="J436" t="s">
        <v>64</v>
      </c>
      <c r="K436" s="1">
        <v>44845</v>
      </c>
      <c r="L436">
        <v>949.5</v>
      </c>
      <c r="M436">
        <v>51</v>
      </c>
      <c r="N436">
        <v>0.5</v>
      </c>
      <c r="O436">
        <v>1.4E-2</v>
      </c>
      <c r="R436">
        <v>76.099999999999994</v>
      </c>
      <c r="S436">
        <v>5.6</v>
      </c>
      <c r="T436">
        <v>9233.7000000000007</v>
      </c>
      <c r="U436">
        <v>660</v>
      </c>
      <c r="V436">
        <v>53.4</v>
      </c>
      <c r="W436">
        <v>0.72</v>
      </c>
      <c r="X436">
        <v>492</v>
      </c>
      <c r="Y436">
        <v>29</v>
      </c>
    </row>
    <row r="437" spans="1:25" x14ac:dyDescent="0.25">
      <c r="A437" t="str">
        <f t="shared" si="6"/>
        <v>2022_SA_Warnertown_Lentil_SatelliteTOSTOS2VarietyJumbo2WaterTrtRainFedAgronomyDensity_0.66</v>
      </c>
      <c r="B437">
        <v>2022018</v>
      </c>
      <c r="C437" t="s">
        <v>72</v>
      </c>
      <c r="D437">
        <v>6</v>
      </c>
      <c r="E437" t="s">
        <v>34</v>
      </c>
      <c r="F437" t="s">
        <v>132</v>
      </c>
      <c r="G437" t="s">
        <v>30</v>
      </c>
      <c r="H437" t="s">
        <v>63</v>
      </c>
      <c r="I437">
        <v>2</v>
      </c>
      <c r="J437" t="s">
        <v>39</v>
      </c>
      <c r="K437" s="1">
        <v>44855</v>
      </c>
      <c r="L437">
        <v>814.1</v>
      </c>
      <c r="M437">
        <v>51</v>
      </c>
      <c r="N437">
        <v>0.4</v>
      </c>
      <c r="O437">
        <v>1.4E-2</v>
      </c>
      <c r="R437">
        <v>76.8</v>
      </c>
      <c r="S437">
        <v>5.6</v>
      </c>
      <c r="T437">
        <v>8144.7</v>
      </c>
      <c r="U437">
        <v>660</v>
      </c>
      <c r="V437">
        <v>38.799999999999997</v>
      </c>
      <c r="W437">
        <v>0.72</v>
      </c>
      <c r="X437">
        <v>317</v>
      </c>
      <c r="Y437">
        <v>29</v>
      </c>
    </row>
    <row r="438" spans="1:25" x14ac:dyDescent="0.25">
      <c r="A438" t="str">
        <f t="shared" si="6"/>
        <v>2022_SA_Warnertown_Lentil_SatelliteTOSTOS1VarietyJumbo2WaterTrtRainFedAgronomyDensity_1</v>
      </c>
      <c r="B438">
        <v>2022018</v>
      </c>
      <c r="C438" t="s">
        <v>72</v>
      </c>
      <c r="D438">
        <v>6</v>
      </c>
      <c r="E438" t="s">
        <v>34</v>
      </c>
      <c r="F438" t="s">
        <v>132</v>
      </c>
      <c r="G438" t="s">
        <v>30</v>
      </c>
      <c r="H438" t="s">
        <v>65</v>
      </c>
      <c r="I438">
        <v>1</v>
      </c>
      <c r="J438" t="s">
        <v>64</v>
      </c>
      <c r="K438" s="1">
        <v>44845</v>
      </c>
      <c r="L438">
        <v>839.6</v>
      </c>
      <c r="M438">
        <v>51</v>
      </c>
      <c r="N438">
        <v>0.5</v>
      </c>
      <c r="O438">
        <v>1.4E-2</v>
      </c>
      <c r="R438">
        <v>106.3</v>
      </c>
      <c r="S438">
        <v>5.6</v>
      </c>
      <c r="T438">
        <v>7439.5</v>
      </c>
      <c r="U438">
        <v>660</v>
      </c>
      <c r="V438">
        <v>56.2</v>
      </c>
      <c r="W438">
        <v>0.72</v>
      </c>
      <c r="X438">
        <v>418</v>
      </c>
      <c r="Y438">
        <v>29</v>
      </c>
    </row>
    <row r="439" spans="1:25" x14ac:dyDescent="0.25">
      <c r="A439" t="str">
        <f t="shared" si="6"/>
        <v>2022_SA_Warnertown_Lentil_SatelliteTOSTOS2VarietyJumbo2WaterTrtRainFedAgronomyDensity_1</v>
      </c>
      <c r="B439">
        <v>2022018</v>
      </c>
      <c r="C439" t="s">
        <v>72</v>
      </c>
      <c r="D439">
        <v>6</v>
      </c>
      <c r="E439" t="s">
        <v>34</v>
      </c>
      <c r="F439" t="s">
        <v>132</v>
      </c>
      <c r="G439" t="s">
        <v>30</v>
      </c>
      <c r="H439" t="s">
        <v>65</v>
      </c>
      <c r="I439">
        <v>2</v>
      </c>
      <c r="J439" t="s">
        <v>39</v>
      </c>
      <c r="K439" s="1">
        <v>44855</v>
      </c>
      <c r="L439">
        <v>859.9</v>
      </c>
      <c r="M439">
        <v>51</v>
      </c>
      <c r="N439">
        <v>0.5</v>
      </c>
      <c r="O439">
        <v>1.4E-2</v>
      </c>
      <c r="R439">
        <v>119.4</v>
      </c>
      <c r="S439">
        <v>5.6</v>
      </c>
      <c r="T439">
        <v>10140.5</v>
      </c>
      <c r="U439">
        <v>660</v>
      </c>
      <c r="V439">
        <v>39.9</v>
      </c>
      <c r="W439">
        <v>0.72</v>
      </c>
      <c r="X439">
        <v>405</v>
      </c>
      <c r="Y439">
        <v>29</v>
      </c>
    </row>
    <row r="440" spans="1:25" x14ac:dyDescent="0.25">
      <c r="A440" t="str">
        <f t="shared" si="6"/>
        <v>2022_SA_Warnertown_Lentil_SatelliteTOSTOS1VarietyKelpieXTWaterTrtRainFedAgronomyDensity_1</v>
      </c>
      <c r="B440">
        <v>2022018</v>
      </c>
      <c r="C440" t="s">
        <v>72</v>
      </c>
      <c r="D440">
        <v>6</v>
      </c>
      <c r="E440" t="s">
        <v>34</v>
      </c>
      <c r="F440" t="s">
        <v>133</v>
      </c>
      <c r="G440" t="s">
        <v>30</v>
      </c>
      <c r="H440" t="s">
        <v>65</v>
      </c>
      <c r="I440">
        <v>1</v>
      </c>
      <c r="J440" t="s">
        <v>64</v>
      </c>
      <c r="K440" s="1">
        <v>44845</v>
      </c>
      <c r="L440">
        <v>782.5</v>
      </c>
      <c r="M440">
        <v>51</v>
      </c>
      <c r="N440">
        <v>0.5</v>
      </c>
      <c r="O440">
        <v>1.4E-2</v>
      </c>
      <c r="R440">
        <v>115.6</v>
      </c>
      <c r="S440">
        <v>5.6</v>
      </c>
      <c r="T440">
        <v>6981.5</v>
      </c>
      <c r="U440">
        <v>660</v>
      </c>
      <c r="V440">
        <v>52</v>
      </c>
      <c r="W440">
        <v>0.72</v>
      </c>
      <c r="X440">
        <v>362</v>
      </c>
      <c r="Y440">
        <v>29</v>
      </c>
    </row>
    <row r="441" spans="1:25" x14ac:dyDescent="0.25">
      <c r="A441" t="str">
        <f t="shared" si="6"/>
        <v>2022_SA_Warnertown_Lentil_SatelliteTOSTOS2VarietyKelpieXTWaterTrtRainFedAgronomyDensity_1</v>
      </c>
      <c r="B441">
        <v>2022018</v>
      </c>
      <c r="C441" t="s">
        <v>72</v>
      </c>
      <c r="D441">
        <v>6</v>
      </c>
      <c r="E441" t="s">
        <v>34</v>
      </c>
      <c r="F441" t="s">
        <v>133</v>
      </c>
      <c r="G441" t="s">
        <v>30</v>
      </c>
      <c r="H441" t="s">
        <v>65</v>
      </c>
      <c r="I441">
        <v>2</v>
      </c>
      <c r="J441" t="s">
        <v>39</v>
      </c>
      <c r="K441" s="1">
        <v>44855</v>
      </c>
      <c r="L441">
        <v>787.9</v>
      </c>
      <c r="M441">
        <v>51</v>
      </c>
      <c r="N441">
        <v>0.5</v>
      </c>
      <c r="O441">
        <v>1.4E-2</v>
      </c>
      <c r="R441">
        <v>120.5</v>
      </c>
      <c r="S441">
        <v>5.6</v>
      </c>
      <c r="T441">
        <v>8842.2000000000007</v>
      </c>
      <c r="U441">
        <v>660</v>
      </c>
      <c r="V441">
        <v>45.7</v>
      </c>
      <c r="W441">
        <v>0.72</v>
      </c>
      <c r="X441">
        <v>403</v>
      </c>
      <c r="Y441">
        <v>29</v>
      </c>
    </row>
    <row r="442" spans="1:25" hidden="1" x14ac:dyDescent="0.25">
      <c r="A442" t="str">
        <f t="shared" si="6"/>
        <v>2023_NSW_WaggaWagga_Fababean_DetailedTOSTOS1VarietyAmberleyWaterTrtIrrigated</v>
      </c>
      <c r="B442">
        <v>2023020</v>
      </c>
      <c r="C442" t="s">
        <v>73</v>
      </c>
      <c r="D442">
        <v>2</v>
      </c>
      <c r="E442" t="s">
        <v>25</v>
      </c>
      <c r="F442" t="s">
        <v>126</v>
      </c>
      <c r="G442" t="s">
        <v>27</v>
      </c>
      <c r="I442">
        <v>1</v>
      </c>
      <c r="J442" t="s">
        <v>74</v>
      </c>
      <c r="K442" s="1">
        <v>45084</v>
      </c>
      <c r="L442">
        <v>32.432698488566899</v>
      </c>
      <c r="M442">
        <v>2.31316562858991</v>
      </c>
    </row>
    <row r="443" spans="1:25" hidden="1" x14ac:dyDescent="0.25">
      <c r="A443" t="str">
        <f t="shared" si="6"/>
        <v>2023_NSW_WaggaWagga_Fababean_DetailedTOSTOS2VarietyAmberleyWaterTrtIrrigated</v>
      </c>
      <c r="B443">
        <v>2023020</v>
      </c>
      <c r="C443" t="s">
        <v>73</v>
      </c>
      <c r="D443">
        <v>2</v>
      </c>
      <c r="E443" t="s">
        <v>25</v>
      </c>
      <c r="F443" t="s">
        <v>126</v>
      </c>
      <c r="G443" t="s">
        <v>27</v>
      </c>
      <c r="I443">
        <v>2</v>
      </c>
      <c r="J443" t="s">
        <v>75</v>
      </c>
      <c r="K443" s="1">
        <v>45133</v>
      </c>
      <c r="L443">
        <v>40.739801511433903</v>
      </c>
      <c r="M443">
        <v>2.3131656285899198</v>
      </c>
    </row>
    <row r="444" spans="1:25" hidden="1" x14ac:dyDescent="0.25">
      <c r="A444" t="str">
        <f t="shared" si="6"/>
        <v>2023_NSW_WaggaWagga_Fababean_DetailedTOSTOS1VarietyAmberleyWaterTrtRainFed</v>
      </c>
      <c r="B444">
        <v>2023020</v>
      </c>
      <c r="C444" t="s">
        <v>73</v>
      </c>
      <c r="D444">
        <v>2</v>
      </c>
      <c r="E444" t="s">
        <v>25</v>
      </c>
      <c r="F444" t="s">
        <v>126</v>
      </c>
      <c r="G444" t="s">
        <v>30</v>
      </c>
      <c r="I444">
        <v>1</v>
      </c>
      <c r="J444" t="s">
        <v>74</v>
      </c>
      <c r="K444" s="1">
        <v>45084</v>
      </c>
      <c r="L444">
        <v>30.507871884376399</v>
      </c>
      <c r="M444">
        <v>2.31316562858991</v>
      </c>
    </row>
    <row r="445" spans="1:25" hidden="1" x14ac:dyDescent="0.25">
      <c r="A445" t="str">
        <f t="shared" si="6"/>
        <v>2023_NSW_WaggaWagga_Fababean_DetailedTOSTOS2VarietyAmberleyWaterTrtRainFed</v>
      </c>
      <c r="B445">
        <v>2023020</v>
      </c>
      <c r="C445" t="s">
        <v>73</v>
      </c>
      <c r="D445">
        <v>2</v>
      </c>
      <c r="E445" t="s">
        <v>25</v>
      </c>
      <c r="F445" t="s">
        <v>126</v>
      </c>
      <c r="G445" t="s">
        <v>30</v>
      </c>
      <c r="I445">
        <v>2</v>
      </c>
      <c r="J445" t="s">
        <v>75</v>
      </c>
      <c r="K445" s="1">
        <v>45133</v>
      </c>
      <c r="L445">
        <v>40.187128115625001</v>
      </c>
      <c r="M445">
        <v>2.3131656285898998</v>
      </c>
    </row>
    <row r="446" spans="1:25" hidden="1" x14ac:dyDescent="0.25">
      <c r="A446" t="str">
        <f t="shared" si="6"/>
        <v>2023_NSW_WaggaWagga_Fababean_DetailedTOSTOS1VarietyMarneWaterTrtIrrigated</v>
      </c>
      <c r="B446">
        <v>2023020</v>
      </c>
      <c r="C446" t="s">
        <v>73</v>
      </c>
      <c r="D446">
        <v>2</v>
      </c>
      <c r="E446" t="s">
        <v>25</v>
      </c>
      <c r="F446" t="s">
        <v>127</v>
      </c>
      <c r="G446" t="s">
        <v>27</v>
      </c>
      <c r="I446">
        <v>1</v>
      </c>
      <c r="J446" t="s">
        <v>74</v>
      </c>
      <c r="K446" s="1">
        <v>45084</v>
      </c>
      <c r="L446">
        <v>28.490199956227201</v>
      </c>
      <c r="M446">
        <v>2.3131654911911701</v>
      </c>
    </row>
    <row r="447" spans="1:25" hidden="1" x14ac:dyDescent="0.25">
      <c r="A447" t="str">
        <f t="shared" si="6"/>
        <v>2023_NSW_WaggaWagga_Fababean_DetailedTOSTOS2VarietyMarneWaterTrtIrrigated</v>
      </c>
      <c r="B447">
        <v>2023020</v>
      </c>
      <c r="C447" t="s">
        <v>73</v>
      </c>
      <c r="D447">
        <v>2</v>
      </c>
      <c r="E447" t="s">
        <v>25</v>
      </c>
      <c r="F447" t="s">
        <v>127</v>
      </c>
      <c r="G447" t="s">
        <v>27</v>
      </c>
      <c r="I447">
        <v>2</v>
      </c>
      <c r="J447" t="s">
        <v>75</v>
      </c>
      <c r="K447" s="1">
        <v>45133</v>
      </c>
      <c r="L447">
        <v>37.0123000437735</v>
      </c>
      <c r="M447">
        <v>2.3131654911911901</v>
      </c>
    </row>
    <row r="448" spans="1:25" hidden="1" x14ac:dyDescent="0.25">
      <c r="A448" t="str">
        <f t="shared" si="6"/>
        <v>2023_NSW_WaggaWagga_Fababean_DetailedTOSTOS1VarietyMarneWaterTrtRainFed</v>
      </c>
      <c r="B448">
        <v>2023020</v>
      </c>
      <c r="C448" t="s">
        <v>73</v>
      </c>
      <c r="D448">
        <v>2</v>
      </c>
      <c r="E448" t="s">
        <v>25</v>
      </c>
      <c r="F448" t="s">
        <v>127</v>
      </c>
      <c r="G448" t="s">
        <v>30</v>
      </c>
      <c r="I448">
        <v>1</v>
      </c>
      <c r="J448" t="s">
        <v>74</v>
      </c>
      <c r="K448" s="1">
        <v>45084</v>
      </c>
      <c r="L448">
        <v>31.842870416715598</v>
      </c>
      <c r="M448">
        <v>2.3131654911911901</v>
      </c>
    </row>
    <row r="449" spans="1:13" hidden="1" x14ac:dyDescent="0.25">
      <c r="A449" t="str">
        <f t="shared" si="6"/>
        <v>2023_NSW_WaggaWagga_Fababean_DetailedTOSTOS2VarietyMarneWaterTrtRainFed</v>
      </c>
      <c r="B449">
        <v>2023020</v>
      </c>
      <c r="C449" t="s">
        <v>73</v>
      </c>
      <c r="D449">
        <v>2</v>
      </c>
      <c r="E449" t="s">
        <v>25</v>
      </c>
      <c r="F449" t="s">
        <v>127</v>
      </c>
      <c r="G449" t="s">
        <v>30</v>
      </c>
      <c r="I449">
        <v>2</v>
      </c>
      <c r="J449" t="s">
        <v>75</v>
      </c>
      <c r="K449" s="1">
        <v>45133</v>
      </c>
      <c r="L449">
        <v>34.934629583285599</v>
      </c>
      <c r="M449">
        <v>2.3131654911911799</v>
      </c>
    </row>
    <row r="450" spans="1:13" hidden="1" x14ac:dyDescent="0.25">
      <c r="A450" t="str">
        <f t="shared" si="6"/>
        <v>2023_NSW_WaggaWagga_Fababean_DetailedTOSTOS1VarietyNasmaWaterTrtIrrigated</v>
      </c>
      <c r="B450">
        <v>2023020</v>
      </c>
      <c r="C450" t="s">
        <v>73</v>
      </c>
      <c r="D450">
        <v>2</v>
      </c>
      <c r="E450" t="s">
        <v>25</v>
      </c>
      <c r="F450" t="s">
        <v>128</v>
      </c>
      <c r="G450" t="s">
        <v>27</v>
      </c>
      <c r="I450">
        <v>1</v>
      </c>
      <c r="J450" t="s">
        <v>74</v>
      </c>
      <c r="K450" s="1">
        <v>45084</v>
      </c>
      <c r="L450">
        <v>28.180199956227298</v>
      </c>
      <c r="M450">
        <v>2.3131654911911799</v>
      </c>
    </row>
    <row r="451" spans="1:13" hidden="1" x14ac:dyDescent="0.25">
      <c r="A451" t="str">
        <f t="shared" ref="A451:A514" si="7">C451&amp;"TOSTOS"&amp;I451&amp;"Variety"&amp;F451&amp;"WaterTrt"&amp;G451&amp;IF(H451="","","Agronomy"&amp;H451)</f>
        <v>2023_NSW_WaggaWagga_Fababean_DetailedTOSTOS2VarietyNasmaWaterTrtIrrigated</v>
      </c>
      <c r="B451">
        <v>2023020</v>
      </c>
      <c r="C451" t="s">
        <v>73</v>
      </c>
      <c r="D451">
        <v>2</v>
      </c>
      <c r="E451" t="s">
        <v>25</v>
      </c>
      <c r="F451" t="s">
        <v>128</v>
      </c>
      <c r="G451" t="s">
        <v>27</v>
      </c>
      <c r="I451">
        <v>2</v>
      </c>
      <c r="J451" t="s">
        <v>75</v>
      </c>
      <c r="K451" s="1">
        <v>45133</v>
      </c>
      <c r="L451">
        <v>28.287300043773399</v>
      </c>
      <c r="M451">
        <v>2.3131654911911901</v>
      </c>
    </row>
    <row r="452" spans="1:13" hidden="1" x14ac:dyDescent="0.25">
      <c r="A452" t="str">
        <f t="shared" si="7"/>
        <v>2023_NSW_WaggaWagga_Fababean_DetailedTOSTOS1VarietyNasmaWaterTrtRainFed</v>
      </c>
      <c r="B452">
        <v>2023020</v>
      </c>
      <c r="C452" t="s">
        <v>73</v>
      </c>
      <c r="D452">
        <v>2</v>
      </c>
      <c r="E452" t="s">
        <v>25</v>
      </c>
      <c r="F452" t="s">
        <v>128</v>
      </c>
      <c r="G452" t="s">
        <v>30</v>
      </c>
      <c r="I452">
        <v>1</v>
      </c>
      <c r="J452" t="s">
        <v>74</v>
      </c>
      <c r="K452" s="1">
        <v>45084</v>
      </c>
      <c r="L452">
        <v>24.9553704167155</v>
      </c>
      <c r="M452">
        <v>2.3131654911911901</v>
      </c>
    </row>
    <row r="453" spans="1:13" hidden="1" x14ac:dyDescent="0.25">
      <c r="A453" t="str">
        <f t="shared" si="7"/>
        <v>2023_NSW_WaggaWagga_Fababean_DetailedTOSTOS2VarietyNasmaWaterTrtRainFed</v>
      </c>
      <c r="B453">
        <v>2023020</v>
      </c>
      <c r="C453" t="s">
        <v>73</v>
      </c>
      <c r="D453">
        <v>2</v>
      </c>
      <c r="E453" t="s">
        <v>25</v>
      </c>
      <c r="F453" t="s">
        <v>128</v>
      </c>
      <c r="G453" t="s">
        <v>30</v>
      </c>
      <c r="I453">
        <v>2</v>
      </c>
      <c r="J453" t="s">
        <v>75</v>
      </c>
      <c r="K453" s="1">
        <v>45133</v>
      </c>
      <c r="L453">
        <v>33.087129583285602</v>
      </c>
      <c r="M453">
        <v>2.3131654911911799</v>
      </c>
    </row>
    <row r="454" spans="1:13" hidden="1" x14ac:dyDescent="0.25">
      <c r="A454" t="str">
        <f t="shared" si="7"/>
        <v>2023_NSW_WaggaWagga_Fababean_DetailedTOSTOS1VarietySamiraWaterTrtIrrigated</v>
      </c>
      <c r="B454">
        <v>2023020</v>
      </c>
      <c r="C454" t="s">
        <v>73</v>
      </c>
      <c r="D454">
        <v>2</v>
      </c>
      <c r="E454" t="s">
        <v>25</v>
      </c>
      <c r="F454" t="s">
        <v>129</v>
      </c>
      <c r="G454" t="s">
        <v>27</v>
      </c>
      <c r="I454">
        <v>1</v>
      </c>
      <c r="J454" t="s">
        <v>74</v>
      </c>
      <c r="K454" s="1">
        <v>45084</v>
      </c>
      <c r="L454">
        <v>26.120201307782899</v>
      </c>
      <c r="M454">
        <v>2.3131656285898998</v>
      </c>
    </row>
    <row r="455" spans="1:13" hidden="1" x14ac:dyDescent="0.25">
      <c r="A455" t="str">
        <f t="shared" si="7"/>
        <v>2023_NSW_WaggaWagga_Fababean_DetailedTOSTOS2VarietySamiraWaterTrtIrrigated</v>
      </c>
      <c r="B455">
        <v>2023020</v>
      </c>
      <c r="C455" t="s">
        <v>73</v>
      </c>
      <c r="D455">
        <v>2</v>
      </c>
      <c r="E455" t="s">
        <v>25</v>
      </c>
      <c r="F455" t="s">
        <v>129</v>
      </c>
      <c r="G455" t="s">
        <v>27</v>
      </c>
      <c r="I455">
        <v>2</v>
      </c>
      <c r="J455" t="s">
        <v>75</v>
      </c>
      <c r="K455" s="1">
        <v>45133</v>
      </c>
      <c r="L455">
        <v>25.649798692217999</v>
      </c>
      <c r="M455">
        <v>2.3131656285899198</v>
      </c>
    </row>
    <row r="456" spans="1:13" hidden="1" x14ac:dyDescent="0.25">
      <c r="A456" t="str">
        <f t="shared" si="7"/>
        <v>2023_NSW_WaggaWagga_Fababean_DetailedTOSTOS1VarietySamiraWaterTrtRainFed</v>
      </c>
      <c r="B456">
        <v>2023020</v>
      </c>
      <c r="C456" t="s">
        <v>73</v>
      </c>
      <c r="D456">
        <v>2</v>
      </c>
      <c r="E456" t="s">
        <v>25</v>
      </c>
      <c r="F456" t="s">
        <v>129</v>
      </c>
      <c r="G456" t="s">
        <v>30</v>
      </c>
      <c r="I456">
        <v>1</v>
      </c>
      <c r="J456" t="s">
        <v>74</v>
      </c>
      <c r="K456" s="1">
        <v>45084</v>
      </c>
      <c r="L456">
        <v>29.18536906516</v>
      </c>
      <c r="M456">
        <v>2.31316562858991</v>
      </c>
    </row>
    <row r="457" spans="1:13" hidden="1" x14ac:dyDescent="0.25">
      <c r="A457" t="str">
        <f t="shared" si="7"/>
        <v>2023_NSW_WaggaWagga_Fababean_DetailedTOSTOS2VarietySamiraWaterTrtRainFed</v>
      </c>
      <c r="B457">
        <v>2023020</v>
      </c>
      <c r="C457" t="s">
        <v>73</v>
      </c>
      <c r="D457">
        <v>2</v>
      </c>
      <c r="E457" t="s">
        <v>25</v>
      </c>
      <c r="F457" t="s">
        <v>129</v>
      </c>
      <c r="G457" t="s">
        <v>30</v>
      </c>
      <c r="I457">
        <v>2</v>
      </c>
      <c r="J457" t="s">
        <v>75</v>
      </c>
      <c r="K457" s="1">
        <v>45133</v>
      </c>
      <c r="L457">
        <v>31.0971309348411</v>
      </c>
      <c r="M457">
        <v>2.31316562858991</v>
      </c>
    </row>
    <row r="458" spans="1:13" hidden="1" x14ac:dyDescent="0.25">
      <c r="A458" t="str">
        <f t="shared" si="7"/>
        <v>2023_NSW_WaggaWagga_Fababean_DetailedTOSTOS1VarietyAmberleyWaterTrtIrrigated</v>
      </c>
      <c r="B458">
        <v>2023020</v>
      </c>
      <c r="C458" t="s">
        <v>73</v>
      </c>
      <c r="D458">
        <v>3</v>
      </c>
      <c r="E458" t="s">
        <v>31</v>
      </c>
      <c r="F458" t="s">
        <v>126</v>
      </c>
      <c r="G458" t="s">
        <v>27</v>
      </c>
      <c r="I458">
        <v>1</v>
      </c>
      <c r="J458" t="s">
        <v>74</v>
      </c>
      <c r="K458" s="1">
        <v>45119</v>
      </c>
      <c r="L458">
        <v>133.82906966099401</v>
      </c>
      <c r="M458">
        <v>12.545325030379701</v>
      </c>
    </row>
    <row r="459" spans="1:13" hidden="1" x14ac:dyDescent="0.25">
      <c r="A459" t="str">
        <f t="shared" si="7"/>
        <v>2023_NSW_WaggaWagga_Fababean_DetailedTOSTOS2VarietyAmberleyWaterTrtIrrigated</v>
      </c>
      <c r="B459">
        <v>2023020</v>
      </c>
      <c r="C459" t="s">
        <v>73</v>
      </c>
      <c r="D459">
        <v>3</v>
      </c>
      <c r="E459" t="s">
        <v>31</v>
      </c>
      <c r="F459" t="s">
        <v>126</v>
      </c>
      <c r="G459" t="s">
        <v>27</v>
      </c>
      <c r="I459">
        <v>2</v>
      </c>
      <c r="J459" t="s">
        <v>75</v>
      </c>
      <c r="K459" s="1">
        <v>45167</v>
      </c>
      <c r="L459">
        <v>183.16093033900799</v>
      </c>
      <c r="M459">
        <v>12.5453250303798</v>
      </c>
    </row>
    <row r="460" spans="1:13" hidden="1" x14ac:dyDescent="0.25">
      <c r="A460" t="str">
        <f t="shared" si="7"/>
        <v>2023_NSW_WaggaWagga_Fababean_DetailedTOSTOS1VarietyAmberleyWaterTrtRainFed</v>
      </c>
      <c r="B460">
        <v>2023020</v>
      </c>
      <c r="C460" t="s">
        <v>73</v>
      </c>
      <c r="D460">
        <v>3</v>
      </c>
      <c r="E460" t="s">
        <v>31</v>
      </c>
      <c r="F460" t="s">
        <v>126</v>
      </c>
      <c r="G460" t="s">
        <v>30</v>
      </c>
      <c r="I460">
        <v>1</v>
      </c>
      <c r="J460" t="s">
        <v>74</v>
      </c>
      <c r="K460" s="1">
        <v>45119</v>
      </c>
      <c r="L460">
        <v>116.69999682984501</v>
      </c>
      <c r="M460">
        <v>12.5453250303798</v>
      </c>
    </row>
    <row r="461" spans="1:13" hidden="1" x14ac:dyDescent="0.25">
      <c r="A461" t="str">
        <f t="shared" si="7"/>
        <v>2023_NSW_WaggaWagga_Fababean_DetailedTOSTOS2VarietyAmberleyWaterTrtRainFed</v>
      </c>
      <c r="B461">
        <v>2023020</v>
      </c>
      <c r="C461" t="s">
        <v>73</v>
      </c>
      <c r="D461">
        <v>3</v>
      </c>
      <c r="E461" t="s">
        <v>31</v>
      </c>
      <c r="F461" t="s">
        <v>126</v>
      </c>
      <c r="G461" t="s">
        <v>30</v>
      </c>
      <c r="I461">
        <v>2</v>
      </c>
      <c r="J461" t="s">
        <v>75</v>
      </c>
      <c r="K461" s="1">
        <v>45167</v>
      </c>
      <c r="L461">
        <v>157.845003170155</v>
      </c>
      <c r="M461">
        <v>12.5453250303798</v>
      </c>
    </row>
    <row r="462" spans="1:13" hidden="1" x14ac:dyDescent="0.25">
      <c r="A462" t="str">
        <f t="shared" si="7"/>
        <v>2023_NSW_WaggaWagga_Fababean_DetailedTOSTOS1VarietyMarneWaterTrtIrrigated</v>
      </c>
      <c r="B462">
        <v>2023020</v>
      </c>
      <c r="C462" t="s">
        <v>73</v>
      </c>
      <c r="D462">
        <v>3</v>
      </c>
      <c r="E462" t="s">
        <v>31</v>
      </c>
      <c r="F462" t="s">
        <v>127</v>
      </c>
      <c r="G462" t="s">
        <v>27</v>
      </c>
      <c r="I462">
        <v>1</v>
      </c>
      <c r="J462" t="s">
        <v>74</v>
      </c>
      <c r="K462" s="1">
        <v>45119</v>
      </c>
      <c r="L462">
        <v>129.68906232833501</v>
      </c>
      <c r="M462">
        <v>12.545324662592501</v>
      </c>
    </row>
    <row r="463" spans="1:13" hidden="1" x14ac:dyDescent="0.25">
      <c r="A463" t="str">
        <f t="shared" si="7"/>
        <v>2023_NSW_WaggaWagga_Fababean_DetailedTOSTOS2VarietyMarneWaterTrtIrrigated</v>
      </c>
      <c r="B463">
        <v>2023020</v>
      </c>
      <c r="C463" t="s">
        <v>73</v>
      </c>
      <c r="D463">
        <v>3</v>
      </c>
      <c r="E463" t="s">
        <v>31</v>
      </c>
      <c r="F463" t="s">
        <v>127</v>
      </c>
      <c r="G463" t="s">
        <v>27</v>
      </c>
      <c r="I463">
        <v>2</v>
      </c>
      <c r="J463" t="s">
        <v>75</v>
      </c>
      <c r="K463" s="1">
        <v>45167</v>
      </c>
      <c r="L463">
        <v>168.94843767166299</v>
      </c>
      <c r="M463">
        <v>12.545324662592501</v>
      </c>
    </row>
    <row r="464" spans="1:13" hidden="1" x14ac:dyDescent="0.25">
      <c r="A464" t="str">
        <f t="shared" si="7"/>
        <v>2023_NSW_WaggaWagga_Fababean_DetailedTOSTOS1VarietyMarneWaterTrtRainFed</v>
      </c>
      <c r="B464">
        <v>2023020</v>
      </c>
      <c r="C464" t="s">
        <v>73</v>
      </c>
      <c r="D464">
        <v>3</v>
      </c>
      <c r="E464" t="s">
        <v>31</v>
      </c>
      <c r="F464" t="s">
        <v>127</v>
      </c>
      <c r="G464" t="s">
        <v>30</v>
      </c>
      <c r="I464">
        <v>1</v>
      </c>
      <c r="J464" t="s">
        <v>74</v>
      </c>
      <c r="K464" s="1">
        <v>45119</v>
      </c>
      <c r="L464">
        <v>123.670004162501</v>
      </c>
      <c r="M464">
        <v>12.545324662592501</v>
      </c>
    </row>
    <row r="465" spans="1:13" hidden="1" x14ac:dyDescent="0.25">
      <c r="A465" t="str">
        <f t="shared" si="7"/>
        <v>2023_NSW_WaggaWagga_Fababean_DetailedTOSTOS2VarietyMarneWaterTrtRainFed</v>
      </c>
      <c r="B465">
        <v>2023020</v>
      </c>
      <c r="C465" t="s">
        <v>73</v>
      </c>
      <c r="D465">
        <v>3</v>
      </c>
      <c r="E465" t="s">
        <v>31</v>
      </c>
      <c r="F465" t="s">
        <v>127</v>
      </c>
      <c r="G465" t="s">
        <v>30</v>
      </c>
      <c r="I465">
        <v>2</v>
      </c>
      <c r="J465" t="s">
        <v>75</v>
      </c>
      <c r="K465" s="1">
        <v>45167</v>
      </c>
      <c r="L465">
        <v>155.36249583749901</v>
      </c>
      <c r="M465">
        <v>12.545324662592501</v>
      </c>
    </row>
    <row r="466" spans="1:13" hidden="1" x14ac:dyDescent="0.25">
      <c r="A466" t="str">
        <f t="shared" si="7"/>
        <v>2023_NSW_WaggaWagga_Fababean_DetailedTOSTOS1VarietyNasmaWaterTrtIrrigated</v>
      </c>
      <c r="B466">
        <v>2023020</v>
      </c>
      <c r="C466" t="s">
        <v>73</v>
      </c>
      <c r="D466">
        <v>3</v>
      </c>
      <c r="E466" t="s">
        <v>31</v>
      </c>
      <c r="F466" t="s">
        <v>128</v>
      </c>
      <c r="G466" t="s">
        <v>27</v>
      </c>
      <c r="I466">
        <v>1</v>
      </c>
      <c r="J466" t="s">
        <v>74</v>
      </c>
      <c r="K466" s="1">
        <v>45119</v>
      </c>
      <c r="L466">
        <v>111.901562328335</v>
      </c>
      <c r="M466">
        <v>12.545324662592501</v>
      </c>
    </row>
    <row r="467" spans="1:13" hidden="1" x14ac:dyDescent="0.25">
      <c r="A467" t="str">
        <f t="shared" si="7"/>
        <v>2023_NSW_WaggaWagga_Fababean_DetailedTOSTOS2VarietyNasmaWaterTrtIrrigated</v>
      </c>
      <c r="B467">
        <v>2023020</v>
      </c>
      <c r="C467" t="s">
        <v>73</v>
      </c>
      <c r="D467">
        <v>3</v>
      </c>
      <c r="E467" t="s">
        <v>31</v>
      </c>
      <c r="F467" t="s">
        <v>128</v>
      </c>
      <c r="G467" t="s">
        <v>27</v>
      </c>
      <c r="I467">
        <v>2</v>
      </c>
      <c r="J467" t="s">
        <v>75</v>
      </c>
      <c r="K467" s="1">
        <v>45167</v>
      </c>
      <c r="L467">
        <v>134.490937671663</v>
      </c>
      <c r="M467">
        <v>12.545324662592501</v>
      </c>
    </row>
    <row r="468" spans="1:13" hidden="1" x14ac:dyDescent="0.25">
      <c r="A468" t="str">
        <f t="shared" si="7"/>
        <v>2023_NSW_WaggaWagga_Fababean_DetailedTOSTOS1VarietyNasmaWaterTrtRainFed</v>
      </c>
      <c r="B468">
        <v>2023020</v>
      </c>
      <c r="C468" t="s">
        <v>73</v>
      </c>
      <c r="D468">
        <v>3</v>
      </c>
      <c r="E468" t="s">
        <v>31</v>
      </c>
      <c r="F468" t="s">
        <v>128</v>
      </c>
      <c r="G468" t="s">
        <v>30</v>
      </c>
      <c r="I468">
        <v>1</v>
      </c>
      <c r="J468" t="s">
        <v>74</v>
      </c>
      <c r="K468" s="1">
        <v>45119</v>
      </c>
      <c r="L468">
        <v>96.3150041625005</v>
      </c>
      <c r="M468">
        <v>12.545324662592501</v>
      </c>
    </row>
    <row r="469" spans="1:13" hidden="1" x14ac:dyDescent="0.25">
      <c r="A469" t="str">
        <f t="shared" si="7"/>
        <v>2023_NSW_WaggaWagga_Fababean_DetailedTOSTOS2VarietyNasmaWaterTrtRainFed</v>
      </c>
      <c r="B469">
        <v>2023020</v>
      </c>
      <c r="C469" t="s">
        <v>73</v>
      </c>
      <c r="D469">
        <v>3</v>
      </c>
      <c r="E469" t="s">
        <v>31</v>
      </c>
      <c r="F469" t="s">
        <v>128</v>
      </c>
      <c r="G469" t="s">
        <v>30</v>
      </c>
      <c r="I469">
        <v>2</v>
      </c>
      <c r="J469" t="s">
        <v>75</v>
      </c>
      <c r="K469" s="1">
        <v>45167</v>
      </c>
      <c r="L469">
        <v>138.19749583749899</v>
      </c>
      <c r="M469">
        <v>12.545324662592501</v>
      </c>
    </row>
    <row r="470" spans="1:13" hidden="1" x14ac:dyDescent="0.25">
      <c r="A470" t="str">
        <f t="shared" si="7"/>
        <v>2023_NSW_WaggaWagga_Fababean_DetailedTOSTOS1VarietySamiraWaterTrtIrrigated</v>
      </c>
      <c r="B470">
        <v>2023020</v>
      </c>
      <c r="C470" t="s">
        <v>73</v>
      </c>
      <c r="D470">
        <v>3</v>
      </c>
      <c r="E470" t="s">
        <v>31</v>
      </c>
      <c r="F470" t="s">
        <v>129</v>
      </c>
      <c r="G470" t="s">
        <v>27</v>
      </c>
      <c r="I470">
        <v>1</v>
      </c>
      <c r="J470" t="s">
        <v>74</v>
      </c>
      <c r="K470" s="1">
        <v>45119</v>
      </c>
      <c r="L470">
        <v>104.519068399891</v>
      </c>
      <c r="M470">
        <v>12.545325030379701</v>
      </c>
    </row>
    <row r="471" spans="1:13" hidden="1" x14ac:dyDescent="0.25">
      <c r="A471" t="str">
        <f t="shared" si="7"/>
        <v>2023_NSW_WaggaWagga_Fababean_DetailedTOSTOS2VarietySamiraWaterTrtIrrigated</v>
      </c>
      <c r="B471">
        <v>2023020</v>
      </c>
      <c r="C471" t="s">
        <v>73</v>
      </c>
      <c r="D471">
        <v>3</v>
      </c>
      <c r="E471" t="s">
        <v>31</v>
      </c>
      <c r="F471" t="s">
        <v>129</v>
      </c>
      <c r="G471" t="s">
        <v>27</v>
      </c>
      <c r="I471">
        <v>2</v>
      </c>
      <c r="J471" t="s">
        <v>75</v>
      </c>
      <c r="K471" s="1">
        <v>45167</v>
      </c>
      <c r="L471">
        <v>163.09593160010701</v>
      </c>
      <c r="M471">
        <v>12.545325030379701</v>
      </c>
    </row>
    <row r="472" spans="1:13" hidden="1" x14ac:dyDescent="0.25">
      <c r="A472" t="str">
        <f t="shared" si="7"/>
        <v>2023_NSW_WaggaWagga_Fababean_DetailedTOSTOS1VarietySamiraWaterTrtRainFed</v>
      </c>
      <c r="B472">
        <v>2023020</v>
      </c>
      <c r="C472" t="s">
        <v>73</v>
      </c>
      <c r="D472">
        <v>3</v>
      </c>
      <c r="E472" t="s">
        <v>31</v>
      </c>
      <c r="F472" t="s">
        <v>129</v>
      </c>
      <c r="G472" t="s">
        <v>30</v>
      </c>
      <c r="I472">
        <v>1</v>
      </c>
      <c r="J472" t="s">
        <v>74</v>
      </c>
      <c r="K472" s="1">
        <v>45119</v>
      </c>
      <c r="L472">
        <v>116.69999809094401</v>
      </c>
      <c r="M472">
        <v>12.5453250303798</v>
      </c>
    </row>
    <row r="473" spans="1:13" hidden="1" x14ac:dyDescent="0.25">
      <c r="A473" t="str">
        <f t="shared" si="7"/>
        <v>2023_NSW_WaggaWagga_Fababean_DetailedTOSTOS2VarietySamiraWaterTrtRainFed</v>
      </c>
      <c r="B473">
        <v>2023020</v>
      </c>
      <c r="C473" t="s">
        <v>73</v>
      </c>
      <c r="D473">
        <v>3</v>
      </c>
      <c r="E473" t="s">
        <v>31</v>
      </c>
      <c r="F473" t="s">
        <v>129</v>
      </c>
      <c r="G473" t="s">
        <v>30</v>
      </c>
      <c r="I473">
        <v>2</v>
      </c>
      <c r="J473" t="s">
        <v>75</v>
      </c>
      <c r="K473" s="1">
        <v>45167</v>
      </c>
      <c r="L473">
        <v>146.62750190905501</v>
      </c>
      <c r="M473">
        <v>12.5453250303798</v>
      </c>
    </row>
    <row r="474" spans="1:13" hidden="1" x14ac:dyDescent="0.25">
      <c r="A474" t="str">
        <f t="shared" si="7"/>
        <v>2023_NSW_WaggaWagga_Fababean_DetailedTOSTOS1VarietyAmberleyWaterTrtIrrigated</v>
      </c>
      <c r="B474">
        <v>2023020</v>
      </c>
      <c r="C474" t="s">
        <v>73</v>
      </c>
      <c r="D474">
        <v>4</v>
      </c>
      <c r="E474" t="s">
        <v>32</v>
      </c>
      <c r="F474" t="s">
        <v>126</v>
      </c>
      <c r="G474" t="s">
        <v>27</v>
      </c>
      <c r="I474">
        <v>1</v>
      </c>
      <c r="J474" t="s">
        <v>74</v>
      </c>
      <c r="K474" s="1">
        <v>45153</v>
      </c>
      <c r="L474">
        <v>439.14186768293399</v>
      </c>
      <c r="M474">
        <v>33.115826025826401</v>
      </c>
    </row>
    <row r="475" spans="1:13" hidden="1" x14ac:dyDescent="0.25">
      <c r="A475" t="str">
        <f t="shared" si="7"/>
        <v>2023_NSW_WaggaWagga_Fababean_DetailedTOSTOS2VarietyAmberleyWaterTrtIrrigated</v>
      </c>
      <c r="B475">
        <v>2023020</v>
      </c>
      <c r="C475" t="s">
        <v>73</v>
      </c>
      <c r="D475">
        <v>4</v>
      </c>
      <c r="E475" t="s">
        <v>32</v>
      </c>
      <c r="F475" t="s">
        <v>126</v>
      </c>
      <c r="G475" t="s">
        <v>27</v>
      </c>
      <c r="I475">
        <v>2</v>
      </c>
      <c r="J475" t="s">
        <v>75</v>
      </c>
      <c r="K475" s="1">
        <v>45177</v>
      </c>
      <c r="L475">
        <v>273.930632317098</v>
      </c>
      <c r="M475">
        <v>33.115826025826003</v>
      </c>
    </row>
    <row r="476" spans="1:13" hidden="1" x14ac:dyDescent="0.25">
      <c r="A476" t="str">
        <f t="shared" si="7"/>
        <v>2023_NSW_WaggaWagga_Fababean_DetailedTOSTOS1VarietyAmberleyWaterTrtRainFed</v>
      </c>
      <c r="B476">
        <v>2023020</v>
      </c>
      <c r="C476" t="s">
        <v>73</v>
      </c>
      <c r="D476">
        <v>4</v>
      </c>
      <c r="E476" t="s">
        <v>32</v>
      </c>
      <c r="F476" t="s">
        <v>126</v>
      </c>
      <c r="G476" t="s">
        <v>30</v>
      </c>
      <c r="I476">
        <v>1</v>
      </c>
      <c r="J476" t="s">
        <v>74</v>
      </c>
      <c r="K476" s="1">
        <v>45153</v>
      </c>
      <c r="L476">
        <v>412.02193977790301</v>
      </c>
      <c r="M476">
        <v>33.115826025825903</v>
      </c>
    </row>
    <row r="477" spans="1:13" hidden="1" x14ac:dyDescent="0.25">
      <c r="A477" t="str">
        <f t="shared" si="7"/>
        <v>2023_NSW_WaggaWagga_Fababean_DetailedTOSTOS2VarietyAmberleyWaterTrtRainFed</v>
      </c>
      <c r="B477">
        <v>2023020</v>
      </c>
      <c r="C477" t="s">
        <v>73</v>
      </c>
      <c r="D477">
        <v>4</v>
      </c>
      <c r="E477" t="s">
        <v>32</v>
      </c>
      <c r="F477" t="s">
        <v>126</v>
      </c>
      <c r="G477" t="s">
        <v>30</v>
      </c>
      <c r="I477">
        <v>2</v>
      </c>
      <c r="J477" t="s">
        <v>75</v>
      </c>
      <c r="K477" s="1">
        <v>45177</v>
      </c>
      <c r="L477">
        <v>250.23806022210999</v>
      </c>
      <c r="M477">
        <v>33.115826025826003</v>
      </c>
    </row>
    <row r="478" spans="1:13" hidden="1" x14ac:dyDescent="0.25">
      <c r="A478" t="str">
        <f t="shared" si="7"/>
        <v>2023_NSW_WaggaWagga_Fababean_DetailedTOSTOS1VarietyMarneWaterTrtIrrigated</v>
      </c>
      <c r="B478">
        <v>2023020</v>
      </c>
      <c r="C478" t="s">
        <v>73</v>
      </c>
      <c r="D478">
        <v>4</v>
      </c>
      <c r="E478" t="s">
        <v>32</v>
      </c>
      <c r="F478" t="s">
        <v>127</v>
      </c>
      <c r="G478" t="s">
        <v>27</v>
      </c>
      <c r="I478">
        <v>1</v>
      </c>
      <c r="J478" t="s">
        <v>74</v>
      </c>
      <c r="K478" s="1">
        <v>45145</v>
      </c>
      <c r="L478">
        <v>330.34096965662002</v>
      </c>
      <c r="M478">
        <v>32.844077568027402</v>
      </c>
    </row>
    <row r="479" spans="1:13" hidden="1" x14ac:dyDescent="0.25">
      <c r="A479" t="str">
        <f t="shared" si="7"/>
        <v>2023_NSW_WaggaWagga_Fababean_DetailedTOSTOS2VarietyMarneWaterTrtIrrigated</v>
      </c>
      <c r="B479">
        <v>2023020</v>
      </c>
      <c r="C479" t="s">
        <v>73</v>
      </c>
      <c r="D479">
        <v>4</v>
      </c>
      <c r="E479" t="s">
        <v>32</v>
      </c>
      <c r="F479" t="s">
        <v>127</v>
      </c>
      <c r="G479" t="s">
        <v>27</v>
      </c>
      <c r="I479">
        <v>2</v>
      </c>
      <c r="J479" t="s">
        <v>75</v>
      </c>
      <c r="K479" s="1">
        <v>45177</v>
      </c>
      <c r="L479">
        <v>256.28653034339999</v>
      </c>
      <c r="M479">
        <v>32.844077568027302</v>
      </c>
    </row>
    <row r="480" spans="1:13" hidden="1" x14ac:dyDescent="0.25">
      <c r="A480" t="str">
        <f t="shared" si="7"/>
        <v>2023_NSW_WaggaWagga_Fababean_DetailedTOSTOS1VarietyMarneWaterTrtRainFed</v>
      </c>
      <c r="B480">
        <v>2023020</v>
      </c>
      <c r="C480" t="s">
        <v>73</v>
      </c>
      <c r="D480">
        <v>4</v>
      </c>
      <c r="E480" t="s">
        <v>32</v>
      </c>
      <c r="F480" t="s">
        <v>127</v>
      </c>
      <c r="G480" t="s">
        <v>30</v>
      </c>
      <c r="I480">
        <v>1</v>
      </c>
      <c r="J480" t="s">
        <v>74</v>
      </c>
      <c r="K480" s="1">
        <v>45145</v>
      </c>
      <c r="L480">
        <v>331.70783780420498</v>
      </c>
      <c r="M480">
        <v>32.844077568027203</v>
      </c>
    </row>
    <row r="481" spans="1:13" hidden="1" x14ac:dyDescent="0.25">
      <c r="A481" t="str">
        <f t="shared" si="7"/>
        <v>2023_NSW_WaggaWagga_Fababean_DetailedTOSTOS2VarietyMarneWaterTrtRainFed</v>
      </c>
      <c r="B481">
        <v>2023020</v>
      </c>
      <c r="C481" t="s">
        <v>73</v>
      </c>
      <c r="D481">
        <v>4</v>
      </c>
      <c r="E481" t="s">
        <v>32</v>
      </c>
      <c r="F481" t="s">
        <v>127</v>
      </c>
      <c r="G481" t="s">
        <v>30</v>
      </c>
      <c r="I481">
        <v>2</v>
      </c>
      <c r="J481" t="s">
        <v>75</v>
      </c>
      <c r="K481" s="1">
        <v>45177</v>
      </c>
      <c r="L481">
        <v>216.117162195807</v>
      </c>
      <c r="M481">
        <v>32.844077568027203</v>
      </c>
    </row>
    <row r="482" spans="1:13" hidden="1" x14ac:dyDescent="0.25">
      <c r="A482" t="str">
        <f t="shared" si="7"/>
        <v>2023_NSW_WaggaWagga_Fababean_DetailedTOSTOS1VarietyNasmaWaterTrtIrrigated</v>
      </c>
      <c r="B482">
        <v>2023020</v>
      </c>
      <c r="C482" t="s">
        <v>73</v>
      </c>
      <c r="D482">
        <v>4</v>
      </c>
      <c r="E482" t="s">
        <v>32</v>
      </c>
      <c r="F482" t="s">
        <v>128</v>
      </c>
      <c r="G482" t="s">
        <v>27</v>
      </c>
      <c r="I482">
        <v>1</v>
      </c>
      <c r="J482" t="s">
        <v>74</v>
      </c>
      <c r="K482" s="1">
        <v>45139</v>
      </c>
      <c r="L482">
        <v>270.27346965662002</v>
      </c>
      <c r="M482">
        <v>32.844077568027402</v>
      </c>
    </row>
    <row r="483" spans="1:13" hidden="1" x14ac:dyDescent="0.25">
      <c r="A483" t="str">
        <f t="shared" si="7"/>
        <v>2023_NSW_WaggaWagga_Fababean_DetailedTOSTOS2VarietyNasmaWaterTrtIrrigated</v>
      </c>
      <c r="B483">
        <v>2023020</v>
      </c>
      <c r="C483" t="s">
        <v>73</v>
      </c>
      <c r="D483">
        <v>4</v>
      </c>
      <c r="E483" t="s">
        <v>32</v>
      </c>
      <c r="F483" t="s">
        <v>128</v>
      </c>
      <c r="G483" t="s">
        <v>27</v>
      </c>
      <c r="I483">
        <v>2</v>
      </c>
      <c r="J483" t="s">
        <v>75</v>
      </c>
      <c r="K483" s="1">
        <v>45173</v>
      </c>
      <c r="L483">
        <v>226.339030343399</v>
      </c>
      <c r="M483">
        <v>32.844077568027302</v>
      </c>
    </row>
    <row r="484" spans="1:13" hidden="1" x14ac:dyDescent="0.25">
      <c r="A484" t="str">
        <f t="shared" si="7"/>
        <v>2023_NSW_WaggaWagga_Fababean_DetailedTOSTOS1VarietyNasmaWaterTrtRainFed</v>
      </c>
      <c r="B484">
        <v>2023020</v>
      </c>
      <c r="C484" t="s">
        <v>73</v>
      </c>
      <c r="D484">
        <v>4</v>
      </c>
      <c r="E484" t="s">
        <v>32</v>
      </c>
      <c r="F484" t="s">
        <v>128</v>
      </c>
      <c r="G484" t="s">
        <v>30</v>
      </c>
      <c r="I484">
        <v>1</v>
      </c>
      <c r="J484" t="s">
        <v>74</v>
      </c>
      <c r="K484" s="1">
        <v>45139</v>
      </c>
      <c r="L484">
        <v>259.43783780420398</v>
      </c>
      <c r="M484">
        <v>32.844077568027203</v>
      </c>
    </row>
    <row r="485" spans="1:13" hidden="1" x14ac:dyDescent="0.25">
      <c r="A485" t="str">
        <f t="shared" si="7"/>
        <v>2023_NSW_WaggaWagga_Fababean_DetailedTOSTOS2VarietyNasmaWaterTrtRainFed</v>
      </c>
      <c r="B485">
        <v>2023020</v>
      </c>
      <c r="C485" t="s">
        <v>73</v>
      </c>
      <c r="D485">
        <v>4</v>
      </c>
      <c r="E485" t="s">
        <v>32</v>
      </c>
      <c r="F485" t="s">
        <v>128</v>
      </c>
      <c r="G485" t="s">
        <v>30</v>
      </c>
      <c r="I485">
        <v>2</v>
      </c>
      <c r="J485" t="s">
        <v>75</v>
      </c>
      <c r="K485" s="1">
        <v>45173</v>
      </c>
      <c r="L485">
        <v>182.02716219580699</v>
      </c>
      <c r="M485">
        <v>32.844077568027203</v>
      </c>
    </row>
    <row r="486" spans="1:13" hidden="1" x14ac:dyDescent="0.25">
      <c r="A486" t="str">
        <f t="shared" si="7"/>
        <v>2023_NSW_WaggaWagga_Fababean_DetailedTOSTOS1VarietySamiraWaterTrtIrrigated</v>
      </c>
      <c r="B486">
        <v>2023020</v>
      </c>
      <c r="C486" t="s">
        <v>73</v>
      </c>
      <c r="D486">
        <v>4</v>
      </c>
      <c r="E486" t="s">
        <v>32</v>
      </c>
      <c r="F486" t="s">
        <v>129</v>
      </c>
      <c r="G486" t="s">
        <v>27</v>
      </c>
      <c r="I486">
        <v>1</v>
      </c>
      <c r="J486" t="s">
        <v>74</v>
      </c>
      <c r="K486" s="1">
        <v>45153</v>
      </c>
      <c r="L486">
        <v>507.52510452770002</v>
      </c>
      <c r="M486">
        <v>33.115826025826202</v>
      </c>
    </row>
    <row r="487" spans="1:13" hidden="1" x14ac:dyDescent="0.25">
      <c r="A487" t="str">
        <f t="shared" si="7"/>
        <v>2023_NSW_WaggaWagga_Fababean_DetailedTOSTOS2VarietySamiraWaterTrtIrrigated</v>
      </c>
      <c r="B487">
        <v>2023020</v>
      </c>
      <c r="C487" t="s">
        <v>73</v>
      </c>
      <c r="D487">
        <v>4</v>
      </c>
      <c r="E487" t="s">
        <v>32</v>
      </c>
      <c r="F487" t="s">
        <v>129</v>
      </c>
      <c r="G487" t="s">
        <v>27</v>
      </c>
      <c r="I487">
        <v>2</v>
      </c>
      <c r="J487" t="s">
        <v>75</v>
      </c>
      <c r="K487" s="1">
        <v>45177</v>
      </c>
      <c r="L487">
        <v>259.89489547231898</v>
      </c>
      <c r="M487">
        <v>33.115826025826102</v>
      </c>
    </row>
    <row r="488" spans="1:13" hidden="1" x14ac:dyDescent="0.25">
      <c r="A488" t="str">
        <f t="shared" si="7"/>
        <v>2023_NSW_WaggaWagga_Fababean_DetailedTOSTOS1VarietySamiraWaterTrtRainFed</v>
      </c>
      <c r="B488">
        <v>2023020</v>
      </c>
      <c r="C488" t="s">
        <v>73</v>
      </c>
      <c r="D488">
        <v>4</v>
      </c>
      <c r="E488" t="s">
        <v>32</v>
      </c>
      <c r="F488" t="s">
        <v>129</v>
      </c>
      <c r="G488" t="s">
        <v>30</v>
      </c>
      <c r="I488">
        <v>1</v>
      </c>
      <c r="J488" t="s">
        <v>74</v>
      </c>
      <c r="K488" s="1">
        <v>45153</v>
      </c>
      <c r="L488">
        <v>449.14370293312402</v>
      </c>
      <c r="M488">
        <v>33.115826025826003</v>
      </c>
    </row>
    <row r="489" spans="1:13" hidden="1" x14ac:dyDescent="0.25">
      <c r="A489" t="str">
        <f t="shared" si="7"/>
        <v>2023_NSW_WaggaWagga_Fababean_DetailedTOSTOS2VarietySamiraWaterTrtRainFed</v>
      </c>
      <c r="B489">
        <v>2023020</v>
      </c>
      <c r="C489" t="s">
        <v>73</v>
      </c>
      <c r="D489">
        <v>4</v>
      </c>
      <c r="E489" t="s">
        <v>32</v>
      </c>
      <c r="F489" t="s">
        <v>129</v>
      </c>
      <c r="G489" t="s">
        <v>30</v>
      </c>
      <c r="I489">
        <v>2</v>
      </c>
      <c r="J489" t="s">
        <v>75</v>
      </c>
      <c r="K489" s="1">
        <v>45177</v>
      </c>
      <c r="L489">
        <v>224.811297066886</v>
      </c>
      <c r="M489">
        <v>33.115826025826003</v>
      </c>
    </row>
    <row r="490" spans="1:13" hidden="1" x14ac:dyDescent="0.25">
      <c r="A490" t="str">
        <f t="shared" si="7"/>
        <v>2023_NSW_WaggaWagga_Fababean_DetailedTOSTOS1VarietyAmberleyWaterTrtIrrigated</v>
      </c>
      <c r="B490">
        <v>2023020</v>
      </c>
      <c r="C490" t="s">
        <v>73</v>
      </c>
      <c r="D490">
        <v>5</v>
      </c>
      <c r="E490" t="s">
        <v>33</v>
      </c>
      <c r="F490" t="s">
        <v>126</v>
      </c>
      <c r="G490" t="s">
        <v>27</v>
      </c>
      <c r="I490">
        <v>1</v>
      </c>
      <c r="J490" t="s">
        <v>74</v>
      </c>
      <c r="K490" s="1">
        <v>45197</v>
      </c>
      <c r="L490">
        <v>1147.1239494244401</v>
      </c>
      <c r="M490">
        <v>60.027433796695398</v>
      </c>
    </row>
    <row r="491" spans="1:13" hidden="1" x14ac:dyDescent="0.25">
      <c r="A491" t="str">
        <f t="shared" si="7"/>
        <v>2023_NSW_WaggaWagga_Fababean_DetailedTOSTOS2VarietyAmberleyWaterTrtIrrigated</v>
      </c>
      <c r="B491">
        <v>2023020</v>
      </c>
      <c r="C491" t="s">
        <v>73</v>
      </c>
      <c r="D491">
        <v>5</v>
      </c>
      <c r="E491" t="s">
        <v>33</v>
      </c>
      <c r="F491" t="s">
        <v>126</v>
      </c>
      <c r="G491" t="s">
        <v>27</v>
      </c>
      <c r="I491">
        <v>2</v>
      </c>
      <c r="J491" t="s">
        <v>75</v>
      </c>
      <c r="K491" s="1">
        <v>45217</v>
      </c>
      <c r="L491">
        <v>1091.85605057561</v>
      </c>
      <c r="M491">
        <v>60.027433796695597</v>
      </c>
    </row>
    <row r="492" spans="1:13" hidden="1" x14ac:dyDescent="0.25">
      <c r="A492" t="str">
        <f t="shared" si="7"/>
        <v>2023_NSW_WaggaWagga_Fababean_DetailedTOSTOS1VarietyAmberleyWaterTrtRainFed</v>
      </c>
      <c r="B492">
        <v>2023020</v>
      </c>
      <c r="C492" t="s">
        <v>73</v>
      </c>
      <c r="D492">
        <v>5</v>
      </c>
      <c r="E492" t="s">
        <v>33</v>
      </c>
      <c r="F492" t="s">
        <v>126</v>
      </c>
      <c r="G492" t="s">
        <v>30</v>
      </c>
      <c r="I492">
        <v>1</v>
      </c>
      <c r="J492" t="s">
        <v>74</v>
      </c>
      <c r="K492" s="1">
        <v>45197</v>
      </c>
      <c r="L492">
        <v>1038.24393989092</v>
      </c>
      <c r="M492">
        <v>60.027433796695497</v>
      </c>
    </row>
    <row r="493" spans="1:13" hidden="1" x14ac:dyDescent="0.25">
      <c r="A493" t="str">
        <f t="shared" si="7"/>
        <v>2023_NSW_WaggaWagga_Fababean_DetailedTOSTOS2VarietyAmberleyWaterTrtRainFed</v>
      </c>
      <c r="B493">
        <v>2023020</v>
      </c>
      <c r="C493" t="s">
        <v>73</v>
      </c>
      <c r="D493">
        <v>5</v>
      </c>
      <c r="E493" t="s">
        <v>33</v>
      </c>
      <c r="F493" t="s">
        <v>126</v>
      </c>
      <c r="G493" t="s">
        <v>30</v>
      </c>
      <c r="I493">
        <v>2</v>
      </c>
      <c r="J493" t="s">
        <v>75</v>
      </c>
      <c r="K493" s="1">
        <v>45210</v>
      </c>
      <c r="L493">
        <v>695.43606010911105</v>
      </c>
      <c r="M493">
        <v>60.027433796695199</v>
      </c>
    </row>
    <row r="494" spans="1:13" hidden="1" x14ac:dyDescent="0.25">
      <c r="A494" t="str">
        <f t="shared" si="7"/>
        <v>2023_NSW_WaggaWagga_Fababean_DetailedTOSTOS1VarietyMarneWaterTrtIrrigated</v>
      </c>
      <c r="B494">
        <v>2023020</v>
      </c>
      <c r="C494" t="s">
        <v>73</v>
      </c>
      <c r="D494">
        <v>5</v>
      </c>
      <c r="E494" t="s">
        <v>33</v>
      </c>
      <c r="F494" t="s">
        <v>127</v>
      </c>
      <c r="G494" t="s">
        <v>27</v>
      </c>
      <c r="I494">
        <v>1</v>
      </c>
      <c r="J494" t="s">
        <v>74</v>
      </c>
      <c r="K494" s="1">
        <v>45197</v>
      </c>
      <c r="L494">
        <v>1105.90620914952</v>
      </c>
      <c r="M494">
        <v>59.375490250249399</v>
      </c>
    </row>
    <row r="495" spans="1:13" hidden="1" x14ac:dyDescent="0.25">
      <c r="A495" t="str">
        <f t="shared" si="7"/>
        <v>2023_NSW_WaggaWagga_Fababean_DetailedTOSTOS2VarietyMarneWaterTrtIrrigated</v>
      </c>
      <c r="B495">
        <v>2023020</v>
      </c>
      <c r="C495" t="s">
        <v>73</v>
      </c>
      <c r="D495">
        <v>5</v>
      </c>
      <c r="E495" t="s">
        <v>33</v>
      </c>
      <c r="F495" t="s">
        <v>127</v>
      </c>
      <c r="G495" t="s">
        <v>27</v>
      </c>
      <c r="I495">
        <v>2</v>
      </c>
      <c r="J495" t="s">
        <v>75</v>
      </c>
      <c r="K495" s="1">
        <v>45217</v>
      </c>
      <c r="L495">
        <v>980.06629085050895</v>
      </c>
      <c r="M495">
        <v>59.375490250249399</v>
      </c>
    </row>
    <row r="496" spans="1:13" hidden="1" x14ac:dyDescent="0.25">
      <c r="A496" t="str">
        <f t="shared" si="7"/>
        <v>2023_NSW_WaggaWagga_Fababean_DetailedTOSTOS1VarietyMarneWaterTrtRainFed</v>
      </c>
      <c r="B496">
        <v>2023020</v>
      </c>
      <c r="C496" t="s">
        <v>73</v>
      </c>
      <c r="D496">
        <v>5</v>
      </c>
      <c r="E496" t="s">
        <v>33</v>
      </c>
      <c r="F496" t="s">
        <v>127</v>
      </c>
      <c r="G496" t="s">
        <v>30</v>
      </c>
      <c r="I496">
        <v>1</v>
      </c>
      <c r="J496" t="s">
        <v>74</v>
      </c>
      <c r="K496" s="1">
        <v>45197</v>
      </c>
      <c r="L496">
        <v>893.84168016581202</v>
      </c>
      <c r="M496">
        <v>59.375490250249399</v>
      </c>
    </row>
    <row r="497" spans="1:25" hidden="1" x14ac:dyDescent="0.25">
      <c r="A497" t="str">
        <f t="shared" si="7"/>
        <v>2023_NSW_WaggaWagga_Fababean_DetailedTOSTOS2VarietyMarneWaterTrtRainFed</v>
      </c>
      <c r="B497">
        <v>2023020</v>
      </c>
      <c r="C497" t="s">
        <v>73</v>
      </c>
      <c r="D497">
        <v>5</v>
      </c>
      <c r="E497" t="s">
        <v>33</v>
      </c>
      <c r="F497" t="s">
        <v>127</v>
      </c>
      <c r="G497" t="s">
        <v>30</v>
      </c>
      <c r="I497">
        <v>2</v>
      </c>
      <c r="J497" t="s">
        <v>75</v>
      </c>
      <c r="K497" s="1">
        <v>45217</v>
      </c>
      <c r="L497">
        <v>688.84331983420998</v>
      </c>
      <c r="M497">
        <v>59.375490250249399</v>
      </c>
    </row>
    <row r="498" spans="1:25" hidden="1" x14ac:dyDescent="0.25">
      <c r="A498" t="str">
        <f t="shared" si="7"/>
        <v>2023_NSW_WaggaWagga_Fababean_DetailedTOSTOS1VarietyNasmaWaterTrtIrrigated</v>
      </c>
      <c r="B498">
        <v>2023020</v>
      </c>
      <c r="C498" t="s">
        <v>73</v>
      </c>
      <c r="D498">
        <v>5</v>
      </c>
      <c r="E498" t="s">
        <v>33</v>
      </c>
      <c r="F498" t="s">
        <v>128</v>
      </c>
      <c r="G498" t="s">
        <v>27</v>
      </c>
      <c r="I498">
        <v>1</v>
      </c>
      <c r="J498" t="s">
        <v>74</v>
      </c>
      <c r="K498" s="1">
        <v>45194</v>
      </c>
      <c r="L498">
        <v>1481.93620914952</v>
      </c>
      <c r="M498">
        <v>59.375490250249399</v>
      </c>
    </row>
    <row r="499" spans="1:25" hidden="1" x14ac:dyDescent="0.25">
      <c r="A499" t="str">
        <f t="shared" si="7"/>
        <v>2023_NSW_WaggaWagga_Fababean_DetailedTOSTOS2VarietyNasmaWaterTrtIrrigated</v>
      </c>
      <c r="B499">
        <v>2023020</v>
      </c>
      <c r="C499" t="s">
        <v>73</v>
      </c>
      <c r="D499">
        <v>5</v>
      </c>
      <c r="E499" t="s">
        <v>33</v>
      </c>
      <c r="F499" t="s">
        <v>128</v>
      </c>
      <c r="G499" t="s">
        <v>27</v>
      </c>
      <c r="I499">
        <v>2</v>
      </c>
      <c r="J499" t="s">
        <v>75</v>
      </c>
      <c r="K499" s="1">
        <v>45210</v>
      </c>
      <c r="L499">
        <v>1028.12629085051</v>
      </c>
      <c r="M499">
        <v>59.375490250249399</v>
      </c>
    </row>
    <row r="500" spans="1:25" hidden="1" x14ac:dyDescent="0.25">
      <c r="A500" t="str">
        <f t="shared" si="7"/>
        <v>2023_NSW_WaggaWagga_Fababean_DetailedTOSTOS1VarietyNasmaWaterTrtRainFed</v>
      </c>
      <c r="B500">
        <v>2023020</v>
      </c>
      <c r="C500" t="s">
        <v>73</v>
      </c>
      <c r="D500">
        <v>5</v>
      </c>
      <c r="E500" t="s">
        <v>33</v>
      </c>
      <c r="F500" t="s">
        <v>128</v>
      </c>
      <c r="G500" t="s">
        <v>30</v>
      </c>
      <c r="I500">
        <v>1</v>
      </c>
      <c r="J500" t="s">
        <v>74</v>
      </c>
      <c r="K500" s="1">
        <v>45194</v>
      </c>
      <c r="L500">
        <v>1194.60168016581</v>
      </c>
      <c r="M500">
        <v>59.375490250249399</v>
      </c>
    </row>
    <row r="501" spans="1:25" hidden="1" x14ac:dyDescent="0.25">
      <c r="A501" t="str">
        <f t="shared" si="7"/>
        <v>2023_NSW_WaggaWagga_Fababean_DetailedTOSTOS2VarietyNasmaWaterTrtRainFed</v>
      </c>
      <c r="B501">
        <v>2023020</v>
      </c>
      <c r="C501" t="s">
        <v>73</v>
      </c>
      <c r="D501">
        <v>5</v>
      </c>
      <c r="E501" t="s">
        <v>33</v>
      </c>
      <c r="F501" t="s">
        <v>128</v>
      </c>
      <c r="G501" t="s">
        <v>30</v>
      </c>
      <c r="I501">
        <v>2</v>
      </c>
      <c r="J501" t="s">
        <v>75</v>
      </c>
      <c r="K501" s="1">
        <v>45210</v>
      </c>
      <c r="L501">
        <v>722.16581983420895</v>
      </c>
      <c r="M501">
        <v>59.375490250249399</v>
      </c>
    </row>
    <row r="502" spans="1:25" hidden="1" x14ac:dyDescent="0.25">
      <c r="A502" t="str">
        <f t="shared" si="7"/>
        <v>2023_NSW_WaggaWagga_Fababean_DetailedTOSTOS1VarietySamiraWaterTrtIrrigated</v>
      </c>
      <c r="B502">
        <v>2023020</v>
      </c>
      <c r="C502" t="s">
        <v>73</v>
      </c>
      <c r="D502">
        <v>5</v>
      </c>
      <c r="E502" t="s">
        <v>33</v>
      </c>
      <c r="F502" t="s">
        <v>129</v>
      </c>
      <c r="G502" t="s">
        <v>27</v>
      </c>
      <c r="I502">
        <v>1</v>
      </c>
      <c r="J502" t="s">
        <v>74</v>
      </c>
      <c r="K502" s="1">
        <v>45197</v>
      </c>
      <c r="L502">
        <v>1327.03575713386</v>
      </c>
      <c r="M502">
        <v>60.027433796695199</v>
      </c>
    </row>
    <row r="503" spans="1:25" hidden="1" x14ac:dyDescent="0.25">
      <c r="A503" t="str">
        <f t="shared" si="7"/>
        <v>2023_NSW_WaggaWagga_Fababean_DetailedTOSTOS2VarietySamiraWaterTrtIrrigated</v>
      </c>
      <c r="B503">
        <v>2023020</v>
      </c>
      <c r="C503" t="s">
        <v>73</v>
      </c>
      <c r="D503">
        <v>5</v>
      </c>
      <c r="E503" t="s">
        <v>33</v>
      </c>
      <c r="F503" t="s">
        <v>129</v>
      </c>
      <c r="G503" t="s">
        <v>27</v>
      </c>
      <c r="I503">
        <v>2</v>
      </c>
      <c r="J503" t="s">
        <v>75</v>
      </c>
      <c r="K503" s="1">
        <v>45211</v>
      </c>
      <c r="L503">
        <v>1204.80674286616</v>
      </c>
      <c r="M503">
        <v>60.027433796695099</v>
      </c>
    </row>
    <row r="504" spans="1:25" hidden="1" x14ac:dyDescent="0.25">
      <c r="A504" t="str">
        <f t="shared" si="7"/>
        <v>2023_NSW_WaggaWagga_Fababean_DetailedTOSTOS1VarietySamiraWaterTrtRainFed</v>
      </c>
      <c r="B504">
        <v>2023020</v>
      </c>
      <c r="C504" t="s">
        <v>73</v>
      </c>
      <c r="D504">
        <v>5</v>
      </c>
      <c r="E504" t="s">
        <v>33</v>
      </c>
      <c r="F504" t="s">
        <v>129</v>
      </c>
      <c r="G504" t="s">
        <v>30</v>
      </c>
      <c r="I504">
        <v>1</v>
      </c>
      <c r="J504" t="s">
        <v>74</v>
      </c>
      <c r="K504" s="1">
        <v>45197</v>
      </c>
      <c r="L504">
        <v>1104.48463218147</v>
      </c>
      <c r="M504">
        <v>60.027433796695099</v>
      </c>
    </row>
    <row r="505" spans="1:25" hidden="1" x14ac:dyDescent="0.25">
      <c r="A505" t="str">
        <f t="shared" si="7"/>
        <v>2023_NSW_WaggaWagga_Fababean_DetailedTOSTOS2VarietySamiraWaterTrtRainFed</v>
      </c>
      <c r="B505">
        <v>2023020</v>
      </c>
      <c r="C505" t="s">
        <v>73</v>
      </c>
      <c r="D505">
        <v>5</v>
      </c>
      <c r="E505" t="s">
        <v>33</v>
      </c>
      <c r="F505" t="s">
        <v>129</v>
      </c>
      <c r="G505" t="s">
        <v>30</v>
      </c>
      <c r="I505">
        <v>2</v>
      </c>
      <c r="J505" t="s">
        <v>75</v>
      </c>
      <c r="K505" s="1">
        <v>45211</v>
      </c>
      <c r="L505">
        <v>721.81036781855403</v>
      </c>
      <c r="M505">
        <v>60.027433796695199</v>
      </c>
    </row>
    <row r="506" spans="1:25" hidden="1" x14ac:dyDescent="0.25">
      <c r="A506" t="str">
        <f t="shared" si="7"/>
        <v>2023_NSW_WaggaWagga_Fababean_DetailedTOSTOS1VarietyAmberleyWaterTrtIrrigated</v>
      </c>
      <c r="B506">
        <v>2023020</v>
      </c>
      <c r="C506" t="s">
        <v>73</v>
      </c>
      <c r="D506">
        <v>6</v>
      </c>
      <c r="E506" t="s">
        <v>34</v>
      </c>
      <c r="F506" t="s">
        <v>126</v>
      </c>
      <c r="G506" t="s">
        <v>27</v>
      </c>
      <c r="I506">
        <v>1</v>
      </c>
      <c r="J506" t="s">
        <v>74</v>
      </c>
      <c r="K506" s="1">
        <v>45237</v>
      </c>
      <c r="L506">
        <v>1630.6766398119</v>
      </c>
      <c r="M506">
        <v>92.417118736984406</v>
      </c>
      <c r="N506">
        <v>0.33900000000000002</v>
      </c>
      <c r="O506">
        <v>1.2999999999999999E-2</v>
      </c>
      <c r="P506">
        <v>758</v>
      </c>
      <c r="Q506">
        <v>37</v>
      </c>
      <c r="T506">
        <v>964</v>
      </c>
      <c r="U506">
        <v>68</v>
      </c>
      <c r="V506">
        <v>613.38165172777406</v>
      </c>
      <c r="W506">
        <v>18.183862062674201</v>
      </c>
      <c r="X506">
        <v>560</v>
      </c>
      <c r="Y506">
        <v>38</v>
      </c>
    </row>
    <row r="507" spans="1:25" hidden="1" x14ac:dyDescent="0.25">
      <c r="A507" t="str">
        <f t="shared" si="7"/>
        <v>2023_NSW_WaggaWagga_Fababean_DetailedTOSTOS2VarietyAmberleyWaterTrtIrrigated</v>
      </c>
      <c r="B507">
        <v>2023020</v>
      </c>
      <c r="C507" t="s">
        <v>73</v>
      </c>
      <c r="D507">
        <v>6</v>
      </c>
      <c r="E507" t="s">
        <v>34</v>
      </c>
      <c r="F507" t="s">
        <v>126</v>
      </c>
      <c r="G507" t="s">
        <v>27</v>
      </c>
      <c r="I507">
        <v>2</v>
      </c>
      <c r="J507" t="s">
        <v>75</v>
      </c>
      <c r="K507" s="1">
        <v>45237</v>
      </c>
      <c r="L507">
        <v>994.74336018838096</v>
      </c>
      <c r="M507">
        <v>92.417118736983099</v>
      </c>
      <c r="N507">
        <v>0.36299999999999999</v>
      </c>
      <c r="O507">
        <v>1.2999999999999999E-2</v>
      </c>
      <c r="P507">
        <v>621</v>
      </c>
      <c r="Q507">
        <v>32</v>
      </c>
      <c r="T507">
        <v>730</v>
      </c>
      <c r="U507">
        <v>68</v>
      </c>
      <c r="V507">
        <v>588.58584827222603</v>
      </c>
      <c r="W507">
        <v>18.183862062674201</v>
      </c>
      <c r="X507">
        <v>355</v>
      </c>
      <c r="Y507">
        <v>38</v>
      </c>
    </row>
    <row r="508" spans="1:25" hidden="1" x14ac:dyDescent="0.25">
      <c r="A508" t="str">
        <f t="shared" si="7"/>
        <v>2023_NSW_WaggaWagga_Fababean_DetailedTOSTOS1VarietyAmberleyWaterTrtRainFed</v>
      </c>
      <c r="B508">
        <v>2023020</v>
      </c>
      <c r="C508" t="s">
        <v>73</v>
      </c>
      <c r="D508">
        <v>6</v>
      </c>
      <c r="E508" t="s">
        <v>34</v>
      </c>
      <c r="F508" t="s">
        <v>126</v>
      </c>
      <c r="G508" t="s">
        <v>30</v>
      </c>
      <c r="I508">
        <v>1</v>
      </c>
      <c r="J508" t="s">
        <v>74</v>
      </c>
      <c r="K508" s="1">
        <v>45231</v>
      </c>
      <c r="L508">
        <v>1040.1713738328999</v>
      </c>
      <c r="M508">
        <v>92.4171187369828</v>
      </c>
      <c r="N508">
        <v>0.33</v>
      </c>
      <c r="O508">
        <v>1.2999999999999999E-2</v>
      </c>
      <c r="P508">
        <v>537</v>
      </c>
      <c r="Q508">
        <v>37</v>
      </c>
      <c r="T508">
        <v>508</v>
      </c>
      <c r="U508">
        <v>48</v>
      </c>
      <c r="V508">
        <v>699.76650102363305</v>
      </c>
      <c r="W508">
        <v>18.183862062674201</v>
      </c>
      <c r="X508">
        <v>337</v>
      </c>
      <c r="Y508">
        <v>38</v>
      </c>
    </row>
    <row r="509" spans="1:25" hidden="1" x14ac:dyDescent="0.25">
      <c r="A509" t="str">
        <f t="shared" si="7"/>
        <v>2023_NSW_WaggaWagga_Fababean_DetailedTOSTOS2VarietyAmberleyWaterTrtRainFed</v>
      </c>
      <c r="B509">
        <v>2023020</v>
      </c>
      <c r="C509" t="s">
        <v>73</v>
      </c>
      <c r="D509">
        <v>6</v>
      </c>
      <c r="E509" t="s">
        <v>34</v>
      </c>
      <c r="F509" t="s">
        <v>126</v>
      </c>
      <c r="G509" t="s">
        <v>30</v>
      </c>
      <c r="I509">
        <v>2</v>
      </c>
      <c r="J509" t="s">
        <v>75</v>
      </c>
      <c r="K509" s="1">
        <v>45237</v>
      </c>
      <c r="L509">
        <v>727.74612616710397</v>
      </c>
      <c r="M509">
        <v>92.4171187369829</v>
      </c>
      <c r="N509">
        <v>0.39300000000000002</v>
      </c>
      <c r="O509">
        <v>1.2999999999999999E-2</v>
      </c>
      <c r="P509">
        <v>346</v>
      </c>
      <c r="Q509">
        <v>32</v>
      </c>
      <c r="T509">
        <v>512</v>
      </c>
      <c r="U509">
        <v>48</v>
      </c>
      <c r="V509">
        <v>629.34849897636605</v>
      </c>
      <c r="W509">
        <v>18.183862062674201</v>
      </c>
      <c r="X509">
        <v>294</v>
      </c>
      <c r="Y509">
        <v>38</v>
      </c>
    </row>
    <row r="510" spans="1:25" hidden="1" x14ac:dyDescent="0.25">
      <c r="A510" t="str">
        <f t="shared" si="7"/>
        <v>2023_NSW_WaggaWagga_Fababean_DetailedTOSTOS1VarietyMarneWaterTrtIrrigated</v>
      </c>
      <c r="B510">
        <v>2023020</v>
      </c>
      <c r="C510" t="s">
        <v>73</v>
      </c>
      <c r="D510">
        <v>6</v>
      </c>
      <c r="E510" t="s">
        <v>34</v>
      </c>
      <c r="F510" t="s">
        <v>127</v>
      </c>
      <c r="G510" t="s">
        <v>27</v>
      </c>
      <c r="I510">
        <v>1</v>
      </c>
      <c r="J510" t="s">
        <v>74</v>
      </c>
      <c r="K510" s="1">
        <v>45237</v>
      </c>
      <c r="L510">
        <v>1472.29316863185</v>
      </c>
      <c r="M510">
        <v>91.895080563076206</v>
      </c>
      <c r="N510">
        <v>0.40699999999999997</v>
      </c>
      <c r="O510">
        <v>1.2999999999999999E-2</v>
      </c>
      <c r="P510">
        <v>636</v>
      </c>
      <c r="Q510">
        <v>42</v>
      </c>
      <c r="T510">
        <v>937</v>
      </c>
      <c r="U510">
        <v>78</v>
      </c>
      <c r="V510">
        <v>591.560956220099</v>
      </c>
      <c r="W510">
        <v>17.986315850599901</v>
      </c>
      <c r="X510">
        <v>594</v>
      </c>
      <c r="Y510">
        <v>38</v>
      </c>
    </row>
    <row r="511" spans="1:25" hidden="1" x14ac:dyDescent="0.25">
      <c r="A511" t="str">
        <f t="shared" si="7"/>
        <v>2023_NSW_WaggaWagga_Fababean_DetailedTOSTOS2VarietyMarneWaterTrtIrrigated</v>
      </c>
      <c r="B511">
        <v>2023020</v>
      </c>
      <c r="C511" t="s">
        <v>73</v>
      </c>
      <c r="D511">
        <v>6</v>
      </c>
      <c r="E511" t="s">
        <v>34</v>
      </c>
      <c r="F511" t="s">
        <v>127</v>
      </c>
      <c r="G511" t="s">
        <v>27</v>
      </c>
      <c r="I511">
        <v>2</v>
      </c>
      <c r="J511" t="s">
        <v>75</v>
      </c>
      <c r="K511" s="1">
        <v>45237</v>
      </c>
      <c r="L511">
        <v>956.459331368373</v>
      </c>
      <c r="M511">
        <v>91.895080563075894</v>
      </c>
      <c r="N511">
        <v>0.441</v>
      </c>
      <c r="O511">
        <v>1.2999999999999999E-2</v>
      </c>
      <c r="P511">
        <v>563</v>
      </c>
      <c r="Q511">
        <v>32</v>
      </c>
      <c r="T511">
        <v>847</v>
      </c>
      <c r="U511">
        <v>67</v>
      </c>
      <c r="V511">
        <v>583.43654377990094</v>
      </c>
      <c r="W511">
        <v>17.986315850599901</v>
      </c>
      <c r="X511">
        <v>424</v>
      </c>
      <c r="Y511">
        <v>38</v>
      </c>
    </row>
    <row r="512" spans="1:25" hidden="1" x14ac:dyDescent="0.25">
      <c r="A512" t="str">
        <f t="shared" si="7"/>
        <v>2023_NSW_WaggaWagga_Fababean_DetailedTOSTOS1VarietyMarneWaterTrtRainFed</v>
      </c>
      <c r="B512">
        <v>2023020</v>
      </c>
      <c r="C512" t="s">
        <v>73</v>
      </c>
      <c r="D512">
        <v>6</v>
      </c>
      <c r="E512" t="s">
        <v>34</v>
      </c>
      <c r="F512" t="s">
        <v>127</v>
      </c>
      <c r="G512" t="s">
        <v>30</v>
      </c>
      <c r="I512">
        <v>1</v>
      </c>
      <c r="J512" t="s">
        <v>74</v>
      </c>
      <c r="K512" s="1">
        <v>45231</v>
      </c>
      <c r="L512">
        <v>970.63484501289099</v>
      </c>
      <c r="M512">
        <v>91.895080563075197</v>
      </c>
      <c r="N512">
        <v>0.42799999999999999</v>
      </c>
      <c r="O512">
        <v>1.2999999999999999E-2</v>
      </c>
      <c r="P512">
        <v>552</v>
      </c>
      <c r="Q512">
        <v>37</v>
      </c>
      <c r="T512">
        <v>648</v>
      </c>
      <c r="U512">
        <v>47</v>
      </c>
      <c r="V512">
        <v>627.52969653130799</v>
      </c>
      <c r="W512">
        <v>17.986315850599901</v>
      </c>
      <c r="X512">
        <v>415</v>
      </c>
      <c r="Y512">
        <v>38</v>
      </c>
    </row>
    <row r="513" spans="1:25" hidden="1" x14ac:dyDescent="0.25">
      <c r="A513" t="str">
        <f t="shared" si="7"/>
        <v>2023_NSW_WaggaWagga_Fababean_DetailedTOSTOS2VarietyMarneWaterTrtRainFed</v>
      </c>
      <c r="B513">
        <v>2023020</v>
      </c>
      <c r="C513" t="s">
        <v>73</v>
      </c>
      <c r="D513">
        <v>6</v>
      </c>
      <c r="E513" t="s">
        <v>34</v>
      </c>
      <c r="F513" t="s">
        <v>127</v>
      </c>
      <c r="G513" t="s">
        <v>30</v>
      </c>
      <c r="I513">
        <v>2</v>
      </c>
      <c r="J513" t="s">
        <v>75</v>
      </c>
      <c r="K513" s="1">
        <v>45237</v>
      </c>
      <c r="L513">
        <v>790.61515498712299</v>
      </c>
      <c r="M513">
        <v>91.895080563075197</v>
      </c>
      <c r="N513">
        <v>0.439</v>
      </c>
      <c r="O513">
        <v>1.2999999999999999E-2</v>
      </c>
      <c r="P513">
        <v>480</v>
      </c>
      <c r="Q513">
        <v>32</v>
      </c>
      <c r="T513">
        <v>655</v>
      </c>
      <c r="U513">
        <v>47</v>
      </c>
      <c r="V513">
        <v>577.30530346869205</v>
      </c>
      <c r="W513">
        <v>17.986315850599901</v>
      </c>
      <c r="X513">
        <v>346</v>
      </c>
      <c r="Y513">
        <v>38</v>
      </c>
    </row>
    <row r="514" spans="1:25" hidden="1" x14ac:dyDescent="0.25">
      <c r="A514" t="str">
        <f t="shared" si="7"/>
        <v>2023_NSW_WaggaWagga_Fababean_DetailedTOSTOS1VarietyNasmaWaterTrtIrrigated</v>
      </c>
      <c r="B514">
        <v>2023020</v>
      </c>
      <c r="C514" t="s">
        <v>73</v>
      </c>
      <c r="D514">
        <v>6</v>
      </c>
      <c r="E514" t="s">
        <v>34</v>
      </c>
      <c r="F514" t="s">
        <v>128</v>
      </c>
      <c r="G514" t="s">
        <v>27</v>
      </c>
      <c r="I514">
        <v>1</v>
      </c>
      <c r="J514" t="s">
        <v>74</v>
      </c>
      <c r="K514" s="1">
        <v>45233</v>
      </c>
      <c r="L514">
        <v>1559.37566863184</v>
      </c>
      <c r="M514">
        <v>91.895080563076306</v>
      </c>
      <c r="N514">
        <v>0.44</v>
      </c>
      <c r="O514">
        <v>1.2999999999999999E-2</v>
      </c>
      <c r="P514">
        <v>637</v>
      </c>
      <c r="Q514">
        <v>37</v>
      </c>
      <c r="T514">
        <v>1192</v>
      </c>
      <c r="U514">
        <v>67</v>
      </c>
      <c r="V514">
        <v>580.12095622009997</v>
      </c>
      <c r="W514">
        <v>17.986315850599901</v>
      </c>
      <c r="X514">
        <v>681</v>
      </c>
      <c r="Y514">
        <v>38</v>
      </c>
    </row>
    <row r="515" spans="1:25" hidden="1" x14ac:dyDescent="0.25">
      <c r="A515" t="str">
        <f t="shared" ref="A515:A578" si="8">C515&amp;"TOSTOS"&amp;I515&amp;"Variety"&amp;F515&amp;"WaterTrt"&amp;G515&amp;IF(H515="","","Agronomy"&amp;H515)</f>
        <v>2023_NSW_WaggaWagga_Fababean_DetailedTOSTOS2VarietyNasmaWaterTrtIrrigated</v>
      </c>
      <c r="B515">
        <v>2023020</v>
      </c>
      <c r="C515" t="s">
        <v>73</v>
      </c>
      <c r="D515">
        <v>6</v>
      </c>
      <c r="E515" t="s">
        <v>34</v>
      </c>
      <c r="F515" t="s">
        <v>128</v>
      </c>
      <c r="G515" t="s">
        <v>27</v>
      </c>
      <c r="I515">
        <v>2</v>
      </c>
      <c r="J515" t="s">
        <v>75</v>
      </c>
      <c r="K515" s="1">
        <v>45237</v>
      </c>
      <c r="L515">
        <v>903.12683136837097</v>
      </c>
      <c r="M515">
        <v>91.895080563075993</v>
      </c>
      <c r="N515">
        <v>0.44400000000000001</v>
      </c>
      <c r="O515">
        <v>1.4999999999999999E-2</v>
      </c>
      <c r="P515">
        <v>452</v>
      </c>
      <c r="Q515">
        <v>32</v>
      </c>
      <c r="T515">
        <v>869</v>
      </c>
      <c r="U515">
        <v>67</v>
      </c>
      <c r="V515">
        <v>563.934043779901</v>
      </c>
      <c r="W515">
        <v>17.986315850599901</v>
      </c>
      <c r="X515">
        <v>439</v>
      </c>
      <c r="Y515">
        <v>38</v>
      </c>
    </row>
    <row r="516" spans="1:25" hidden="1" x14ac:dyDescent="0.25">
      <c r="A516" t="str">
        <f t="shared" si="8"/>
        <v>2023_NSW_WaggaWagga_Fababean_DetailedTOSTOS1VarietyNasmaWaterTrtRainFed</v>
      </c>
      <c r="B516">
        <v>2023020</v>
      </c>
      <c r="C516" t="s">
        <v>73</v>
      </c>
      <c r="D516">
        <v>6</v>
      </c>
      <c r="E516" t="s">
        <v>34</v>
      </c>
      <c r="F516" t="s">
        <v>128</v>
      </c>
      <c r="G516" t="s">
        <v>30</v>
      </c>
      <c r="I516">
        <v>1</v>
      </c>
      <c r="J516" t="s">
        <v>74</v>
      </c>
      <c r="K516" s="1">
        <v>45230</v>
      </c>
      <c r="L516">
        <v>956.04984501288595</v>
      </c>
      <c r="M516">
        <v>91.895080563075297</v>
      </c>
      <c r="N516">
        <v>0.435</v>
      </c>
      <c r="O516">
        <v>1.2999999999999999E-2</v>
      </c>
      <c r="P516">
        <v>411</v>
      </c>
      <c r="Q516">
        <v>37</v>
      </c>
      <c r="T516">
        <v>713</v>
      </c>
      <c r="U516">
        <v>47</v>
      </c>
      <c r="V516">
        <v>588.62719653130796</v>
      </c>
      <c r="W516">
        <v>17.986315850599901</v>
      </c>
      <c r="X516">
        <v>418</v>
      </c>
      <c r="Y516">
        <v>38</v>
      </c>
    </row>
    <row r="517" spans="1:25" hidden="1" x14ac:dyDescent="0.25">
      <c r="A517" t="str">
        <f t="shared" si="8"/>
        <v>2023_NSW_WaggaWagga_Fababean_DetailedTOSTOS2VarietyNasmaWaterTrtRainFed</v>
      </c>
      <c r="B517">
        <v>2023020</v>
      </c>
      <c r="C517" t="s">
        <v>73</v>
      </c>
      <c r="D517">
        <v>6</v>
      </c>
      <c r="E517" t="s">
        <v>34</v>
      </c>
      <c r="F517" t="s">
        <v>128</v>
      </c>
      <c r="G517" t="s">
        <v>30</v>
      </c>
      <c r="I517">
        <v>2</v>
      </c>
      <c r="J517" t="s">
        <v>75</v>
      </c>
      <c r="K517" s="1">
        <v>45236</v>
      </c>
      <c r="L517">
        <v>766.45015498711803</v>
      </c>
      <c r="M517">
        <v>91.895080563075297</v>
      </c>
      <c r="N517">
        <v>0.44400000000000001</v>
      </c>
      <c r="O517">
        <v>1.2999999999999999E-2</v>
      </c>
      <c r="P517">
        <v>338</v>
      </c>
      <c r="Q517">
        <v>32</v>
      </c>
      <c r="T517">
        <v>709</v>
      </c>
      <c r="U517">
        <v>47</v>
      </c>
      <c r="V517">
        <v>559.56030346869204</v>
      </c>
      <c r="W517">
        <v>17.986315850599901</v>
      </c>
      <c r="X517">
        <v>339</v>
      </c>
      <c r="Y517">
        <v>38</v>
      </c>
    </row>
    <row r="518" spans="1:25" hidden="1" x14ac:dyDescent="0.25">
      <c r="A518" t="str">
        <f t="shared" si="8"/>
        <v>2023_NSW_WaggaWagga_Fababean_DetailedTOSTOS1VarietySamiraWaterTrtIrrigated</v>
      </c>
      <c r="B518">
        <v>2023020</v>
      </c>
      <c r="C518" t="s">
        <v>73</v>
      </c>
      <c r="D518">
        <v>6</v>
      </c>
      <c r="E518" t="s">
        <v>34</v>
      </c>
      <c r="F518" t="s">
        <v>129</v>
      </c>
      <c r="G518" t="s">
        <v>27</v>
      </c>
      <c r="I518">
        <v>1</v>
      </c>
      <c r="J518" t="s">
        <v>74</v>
      </c>
      <c r="K518" s="1">
        <v>45236</v>
      </c>
      <c r="L518">
        <v>1469.74111296603</v>
      </c>
      <c r="M518">
        <v>92.417118736983795</v>
      </c>
      <c r="N518">
        <v>0.33800000000000002</v>
      </c>
      <c r="O518">
        <v>1.2999999999999999E-2</v>
      </c>
      <c r="P518">
        <v>514</v>
      </c>
      <c r="Q518">
        <v>37</v>
      </c>
      <c r="T518">
        <v>964</v>
      </c>
      <c r="U518">
        <v>68</v>
      </c>
      <c r="V518">
        <v>656.38805590009599</v>
      </c>
      <c r="W518">
        <v>18.183862062674201</v>
      </c>
      <c r="X518">
        <v>500</v>
      </c>
      <c r="Y518">
        <v>38</v>
      </c>
    </row>
    <row r="519" spans="1:25" hidden="1" x14ac:dyDescent="0.25">
      <c r="A519" t="str">
        <f t="shared" si="8"/>
        <v>2023_NSW_WaggaWagga_Fababean_DetailedTOSTOS2VarietySamiraWaterTrtIrrigated</v>
      </c>
      <c r="B519">
        <v>2023020</v>
      </c>
      <c r="C519" t="s">
        <v>73</v>
      </c>
      <c r="D519">
        <v>6</v>
      </c>
      <c r="E519" t="s">
        <v>34</v>
      </c>
      <c r="F519" t="s">
        <v>129</v>
      </c>
      <c r="G519" t="s">
        <v>27</v>
      </c>
      <c r="I519">
        <v>2</v>
      </c>
      <c r="J519" t="s">
        <v>75</v>
      </c>
      <c r="K519" s="1">
        <v>45237</v>
      </c>
      <c r="L519">
        <v>1063.1763870341799</v>
      </c>
      <c r="M519">
        <v>92.417118736983397</v>
      </c>
      <c r="N519">
        <v>0.39</v>
      </c>
      <c r="O519">
        <v>1.2999999999999999E-2</v>
      </c>
      <c r="P519">
        <v>489</v>
      </c>
      <c r="Q519">
        <v>32</v>
      </c>
      <c r="T519">
        <v>821</v>
      </c>
      <c r="U519">
        <v>68</v>
      </c>
      <c r="V519">
        <v>616.49444409990303</v>
      </c>
      <c r="W519">
        <v>18.183862062674201</v>
      </c>
      <c r="X519">
        <v>415</v>
      </c>
      <c r="Y519">
        <v>38</v>
      </c>
    </row>
    <row r="520" spans="1:25" hidden="1" x14ac:dyDescent="0.25">
      <c r="A520" t="str">
        <f t="shared" si="8"/>
        <v>2023_NSW_WaggaWagga_Fababean_DetailedTOSTOS1VarietySamiraWaterTrtRainFed</v>
      </c>
      <c r="B520">
        <v>2023020</v>
      </c>
      <c r="C520" t="s">
        <v>73</v>
      </c>
      <c r="D520">
        <v>6</v>
      </c>
      <c r="E520" t="s">
        <v>34</v>
      </c>
      <c r="F520" t="s">
        <v>129</v>
      </c>
      <c r="G520" t="s">
        <v>30</v>
      </c>
      <c r="I520">
        <v>1</v>
      </c>
      <c r="J520" t="s">
        <v>74</v>
      </c>
      <c r="K520" s="1">
        <v>45230</v>
      </c>
      <c r="L520">
        <v>883.18440067869994</v>
      </c>
      <c r="M520">
        <v>92.4171187369828</v>
      </c>
      <c r="N520">
        <v>0.36699999999999999</v>
      </c>
      <c r="O520">
        <v>1.2999999999999999E-2</v>
      </c>
      <c r="P520">
        <v>262</v>
      </c>
      <c r="Q520">
        <v>37</v>
      </c>
      <c r="T520">
        <v>512</v>
      </c>
      <c r="U520">
        <v>48</v>
      </c>
      <c r="V520">
        <v>636.33009685131105</v>
      </c>
      <c r="W520">
        <v>18.183862062674201</v>
      </c>
      <c r="X520">
        <v>322</v>
      </c>
      <c r="Y520">
        <v>38</v>
      </c>
    </row>
    <row r="521" spans="1:25" hidden="1" x14ac:dyDescent="0.25">
      <c r="A521" t="str">
        <f t="shared" si="8"/>
        <v>2023_NSW_WaggaWagga_Fababean_DetailedTOSTOS2VarietySamiraWaterTrtRainFed</v>
      </c>
      <c r="B521">
        <v>2023020</v>
      </c>
      <c r="C521" t="s">
        <v>73</v>
      </c>
      <c r="D521">
        <v>6</v>
      </c>
      <c r="E521" t="s">
        <v>34</v>
      </c>
      <c r="F521" t="s">
        <v>129</v>
      </c>
      <c r="G521" t="s">
        <v>30</v>
      </c>
      <c r="I521">
        <v>2</v>
      </c>
      <c r="J521" t="s">
        <v>75</v>
      </c>
      <c r="K521" s="1">
        <v>45237</v>
      </c>
      <c r="L521">
        <v>779.73309932130701</v>
      </c>
      <c r="M521">
        <v>92.4171187369828</v>
      </c>
      <c r="N521">
        <v>0.42699999999999999</v>
      </c>
      <c r="O521">
        <v>1.2999999999999999E-2</v>
      </c>
      <c r="P521">
        <v>322</v>
      </c>
      <c r="Q521">
        <v>32</v>
      </c>
      <c r="T521">
        <v>562</v>
      </c>
      <c r="U521">
        <v>48</v>
      </c>
      <c r="V521">
        <v>632.66490314868895</v>
      </c>
      <c r="W521">
        <v>18.183862062674201</v>
      </c>
      <c r="X521">
        <v>335</v>
      </c>
      <c r="Y521">
        <v>38</v>
      </c>
    </row>
    <row r="522" spans="1:25" hidden="1" x14ac:dyDescent="0.25">
      <c r="A522" t="str">
        <f t="shared" si="8"/>
        <v>2023_NSW_WaggaWagga_Lupin_DetailedTOSTOS1VarietyMandelupWaterTrtIrrigated</v>
      </c>
      <c r="B522">
        <v>2023021</v>
      </c>
      <c r="C522" t="s">
        <v>76</v>
      </c>
      <c r="D522">
        <v>2</v>
      </c>
      <c r="E522" t="s">
        <v>25</v>
      </c>
      <c r="F522" t="s">
        <v>77</v>
      </c>
      <c r="G522" t="s">
        <v>27</v>
      </c>
      <c r="I522">
        <v>1</v>
      </c>
      <c r="J522" t="s">
        <v>74</v>
      </c>
      <c r="K522" s="1">
        <v>45082</v>
      </c>
      <c r="L522">
        <v>11.4</v>
      </c>
      <c r="M522">
        <v>1.5</v>
      </c>
    </row>
    <row r="523" spans="1:25" hidden="1" x14ac:dyDescent="0.25">
      <c r="A523" t="str">
        <f t="shared" si="8"/>
        <v>2023_NSW_WaggaWagga_Lupin_DetailedTOSTOS2VarietyMandelupWaterTrtIrrigated</v>
      </c>
      <c r="B523">
        <v>2023021</v>
      </c>
      <c r="C523" t="s">
        <v>76</v>
      </c>
      <c r="D523">
        <v>2</v>
      </c>
      <c r="E523" t="s">
        <v>25</v>
      </c>
      <c r="F523" t="s">
        <v>77</v>
      </c>
      <c r="G523" t="s">
        <v>27</v>
      </c>
      <c r="I523">
        <v>2</v>
      </c>
      <c r="J523" t="s">
        <v>75</v>
      </c>
      <c r="K523" s="1">
        <v>45126</v>
      </c>
      <c r="L523">
        <v>10.1</v>
      </c>
      <c r="M523">
        <v>1.5</v>
      </c>
    </row>
    <row r="524" spans="1:25" hidden="1" x14ac:dyDescent="0.25">
      <c r="A524" t="str">
        <f t="shared" si="8"/>
        <v>2023_NSW_WaggaWagga_Lupin_DetailedTOSTOS1VarietyMandelupWaterTrtRainFed</v>
      </c>
      <c r="B524">
        <v>2023021</v>
      </c>
      <c r="C524" t="s">
        <v>76</v>
      </c>
      <c r="D524">
        <v>2</v>
      </c>
      <c r="E524" t="s">
        <v>25</v>
      </c>
      <c r="F524" t="s">
        <v>77</v>
      </c>
      <c r="G524" t="s">
        <v>30</v>
      </c>
      <c r="I524">
        <v>1</v>
      </c>
      <c r="J524" t="s">
        <v>74</v>
      </c>
      <c r="K524" s="1">
        <v>45082</v>
      </c>
      <c r="L524">
        <v>12.3</v>
      </c>
      <c r="M524">
        <v>1.5</v>
      </c>
    </row>
    <row r="525" spans="1:25" hidden="1" x14ac:dyDescent="0.25">
      <c r="A525" t="str">
        <f t="shared" si="8"/>
        <v>2023_NSW_WaggaWagga_Lupin_DetailedTOSTOS2VarietyMandelupWaterTrtRainFed</v>
      </c>
      <c r="B525">
        <v>2023021</v>
      </c>
      <c r="C525" t="s">
        <v>76</v>
      </c>
      <c r="D525">
        <v>2</v>
      </c>
      <c r="E525" t="s">
        <v>25</v>
      </c>
      <c r="F525" t="s">
        <v>77</v>
      </c>
      <c r="G525" t="s">
        <v>30</v>
      </c>
      <c r="I525">
        <v>2</v>
      </c>
      <c r="J525" t="s">
        <v>75</v>
      </c>
      <c r="K525" s="1">
        <v>45126</v>
      </c>
      <c r="L525">
        <v>12.8</v>
      </c>
      <c r="M525">
        <v>1.6</v>
      </c>
    </row>
    <row r="526" spans="1:25" hidden="1" x14ac:dyDescent="0.25">
      <c r="A526" t="str">
        <f t="shared" si="8"/>
        <v>2023_NSW_WaggaWagga_Lupin_DetailedTOSTOS1VarietyBatemanWaterTrtIrrigated</v>
      </c>
      <c r="B526">
        <v>2023021</v>
      </c>
      <c r="C526" t="s">
        <v>76</v>
      </c>
      <c r="D526">
        <v>2</v>
      </c>
      <c r="E526" t="s">
        <v>25</v>
      </c>
      <c r="F526" t="s">
        <v>139</v>
      </c>
      <c r="G526" t="s">
        <v>27</v>
      </c>
      <c r="I526">
        <v>1</v>
      </c>
      <c r="J526" t="s">
        <v>74</v>
      </c>
      <c r="K526" s="1">
        <v>45082</v>
      </c>
      <c r="L526">
        <v>10.3</v>
      </c>
      <c r="M526">
        <v>1.5</v>
      </c>
    </row>
    <row r="527" spans="1:25" hidden="1" x14ac:dyDescent="0.25">
      <c r="A527" t="str">
        <f t="shared" si="8"/>
        <v>2023_NSW_WaggaWagga_Lupin_DetailedTOSTOS2VarietyBatemanWaterTrtIrrigated</v>
      </c>
      <c r="B527">
        <v>2023021</v>
      </c>
      <c r="C527" t="s">
        <v>76</v>
      </c>
      <c r="D527">
        <v>2</v>
      </c>
      <c r="E527" t="s">
        <v>25</v>
      </c>
      <c r="F527" t="s">
        <v>139</v>
      </c>
      <c r="G527" t="s">
        <v>27</v>
      </c>
      <c r="I527">
        <v>2</v>
      </c>
      <c r="J527" t="s">
        <v>75</v>
      </c>
      <c r="K527" s="1">
        <v>45126</v>
      </c>
      <c r="L527">
        <v>10.7</v>
      </c>
      <c r="M527">
        <v>1.5</v>
      </c>
    </row>
    <row r="528" spans="1:25" hidden="1" x14ac:dyDescent="0.25">
      <c r="A528" t="str">
        <f t="shared" si="8"/>
        <v>2023_NSW_WaggaWagga_Lupin_DetailedTOSTOS1VarietyBatemanWaterTrtRainFed</v>
      </c>
      <c r="B528">
        <v>2023021</v>
      </c>
      <c r="C528" t="s">
        <v>76</v>
      </c>
      <c r="D528">
        <v>2</v>
      </c>
      <c r="E528" t="s">
        <v>25</v>
      </c>
      <c r="F528" t="s">
        <v>139</v>
      </c>
      <c r="G528" t="s">
        <v>30</v>
      </c>
      <c r="I528">
        <v>1</v>
      </c>
      <c r="J528" t="s">
        <v>74</v>
      </c>
      <c r="K528" s="1">
        <v>45082</v>
      </c>
      <c r="L528">
        <v>10.6</v>
      </c>
      <c r="M528">
        <v>1.5</v>
      </c>
    </row>
    <row r="529" spans="1:13" hidden="1" x14ac:dyDescent="0.25">
      <c r="A529" t="str">
        <f t="shared" si="8"/>
        <v>2023_NSW_WaggaWagga_Lupin_DetailedTOSTOS2VarietyBatemanWaterTrtRainFed</v>
      </c>
      <c r="B529">
        <v>2023021</v>
      </c>
      <c r="C529" t="s">
        <v>76</v>
      </c>
      <c r="D529">
        <v>2</v>
      </c>
      <c r="E529" t="s">
        <v>25</v>
      </c>
      <c r="F529" t="s">
        <v>139</v>
      </c>
      <c r="G529" t="s">
        <v>30</v>
      </c>
      <c r="I529">
        <v>2</v>
      </c>
      <c r="J529" t="s">
        <v>75</v>
      </c>
      <c r="K529" s="1">
        <v>45126</v>
      </c>
      <c r="L529">
        <v>12.3</v>
      </c>
      <c r="M529">
        <v>1.6</v>
      </c>
    </row>
    <row r="530" spans="1:13" hidden="1" x14ac:dyDescent="0.25">
      <c r="A530" t="str">
        <f t="shared" si="8"/>
        <v>2023_NSW_WaggaWagga_Lupin_DetailedTOSTOS1VarietyJurienWaterTrtIrrigated</v>
      </c>
      <c r="B530">
        <v>2023021</v>
      </c>
      <c r="C530" t="s">
        <v>76</v>
      </c>
      <c r="D530">
        <v>2</v>
      </c>
      <c r="E530" t="s">
        <v>25</v>
      </c>
      <c r="F530" t="s">
        <v>140</v>
      </c>
      <c r="G530" t="s">
        <v>27</v>
      </c>
      <c r="I530">
        <v>1</v>
      </c>
      <c r="J530" t="s">
        <v>74</v>
      </c>
      <c r="K530" s="1">
        <v>45082</v>
      </c>
      <c r="L530">
        <v>10.3</v>
      </c>
      <c r="M530">
        <v>1.5</v>
      </c>
    </row>
    <row r="531" spans="1:13" hidden="1" x14ac:dyDescent="0.25">
      <c r="A531" t="str">
        <f t="shared" si="8"/>
        <v>2023_NSW_WaggaWagga_Lupin_DetailedTOSTOS2VarietyJurienWaterTrtIrrigated</v>
      </c>
      <c r="B531">
        <v>2023021</v>
      </c>
      <c r="C531" t="s">
        <v>76</v>
      </c>
      <c r="D531">
        <v>2</v>
      </c>
      <c r="E531" t="s">
        <v>25</v>
      </c>
      <c r="F531" t="s">
        <v>140</v>
      </c>
      <c r="G531" t="s">
        <v>27</v>
      </c>
      <c r="I531">
        <v>2</v>
      </c>
      <c r="J531" t="s">
        <v>75</v>
      </c>
      <c r="K531" s="1">
        <v>45126</v>
      </c>
      <c r="L531">
        <v>9.6999999999999993</v>
      </c>
      <c r="M531">
        <v>1.5</v>
      </c>
    </row>
    <row r="532" spans="1:13" hidden="1" x14ac:dyDescent="0.25">
      <c r="A532" t="str">
        <f t="shared" si="8"/>
        <v>2023_NSW_WaggaWagga_Lupin_DetailedTOSTOS1VarietyJurienWaterTrtRainFed</v>
      </c>
      <c r="B532">
        <v>2023021</v>
      </c>
      <c r="C532" t="s">
        <v>76</v>
      </c>
      <c r="D532">
        <v>2</v>
      </c>
      <c r="E532" t="s">
        <v>25</v>
      </c>
      <c r="F532" t="s">
        <v>140</v>
      </c>
      <c r="G532" t="s">
        <v>30</v>
      </c>
      <c r="I532">
        <v>1</v>
      </c>
      <c r="J532" t="s">
        <v>74</v>
      </c>
      <c r="K532" s="1">
        <v>45082</v>
      </c>
      <c r="L532">
        <v>10.199999999999999</v>
      </c>
      <c r="M532">
        <v>1.5</v>
      </c>
    </row>
    <row r="533" spans="1:13" hidden="1" x14ac:dyDescent="0.25">
      <c r="A533" t="str">
        <f t="shared" si="8"/>
        <v>2023_NSW_WaggaWagga_Lupin_DetailedTOSTOS2VarietyJurienWaterTrtRainFed</v>
      </c>
      <c r="B533">
        <v>2023021</v>
      </c>
      <c r="C533" t="s">
        <v>76</v>
      </c>
      <c r="D533">
        <v>2</v>
      </c>
      <c r="E533" t="s">
        <v>25</v>
      </c>
      <c r="F533" t="s">
        <v>140</v>
      </c>
      <c r="G533" t="s">
        <v>30</v>
      </c>
      <c r="I533">
        <v>2</v>
      </c>
      <c r="J533" t="s">
        <v>75</v>
      </c>
      <c r="K533" s="1">
        <v>45126</v>
      </c>
      <c r="L533">
        <v>12.7</v>
      </c>
      <c r="M533">
        <v>1.6</v>
      </c>
    </row>
    <row r="534" spans="1:13" hidden="1" x14ac:dyDescent="0.25">
      <c r="A534" t="str">
        <f t="shared" si="8"/>
        <v>2023_NSW_WaggaWagga_Lupin_DetailedTOSTOS1VarietyWongaWaterTrtIrrigated</v>
      </c>
      <c r="B534">
        <v>2023021</v>
      </c>
      <c r="C534" t="s">
        <v>76</v>
      </c>
      <c r="D534">
        <v>2</v>
      </c>
      <c r="E534" t="s">
        <v>25</v>
      </c>
      <c r="F534" t="s">
        <v>78</v>
      </c>
      <c r="G534" t="s">
        <v>27</v>
      </c>
      <c r="I534">
        <v>1</v>
      </c>
      <c r="J534" t="s">
        <v>74</v>
      </c>
      <c r="K534" s="1">
        <v>45082</v>
      </c>
      <c r="L534">
        <v>11.8</v>
      </c>
      <c r="M534">
        <v>1.5</v>
      </c>
    </row>
    <row r="535" spans="1:13" hidden="1" x14ac:dyDescent="0.25">
      <c r="A535" t="str">
        <f t="shared" si="8"/>
        <v>2023_NSW_WaggaWagga_Lupin_DetailedTOSTOS2VarietyWongaWaterTrtIrrigated</v>
      </c>
      <c r="B535">
        <v>2023021</v>
      </c>
      <c r="C535" t="s">
        <v>76</v>
      </c>
      <c r="D535">
        <v>2</v>
      </c>
      <c r="E535" t="s">
        <v>25</v>
      </c>
      <c r="F535" t="s">
        <v>78</v>
      </c>
      <c r="G535" t="s">
        <v>27</v>
      </c>
      <c r="I535">
        <v>2</v>
      </c>
      <c r="J535" t="s">
        <v>75</v>
      </c>
      <c r="K535" s="1">
        <v>45126</v>
      </c>
      <c r="L535">
        <v>9</v>
      </c>
      <c r="M535">
        <v>1.5</v>
      </c>
    </row>
    <row r="536" spans="1:13" hidden="1" x14ac:dyDescent="0.25">
      <c r="A536" t="str">
        <f t="shared" si="8"/>
        <v>2023_NSW_WaggaWagga_Lupin_DetailedTOSTOS1VarietyWongaWaterTrtRainFed</v>
      </c>
      <c r="B536">
        <v>2023021</v>
      </c>
      <c r="C536" t="s">
        <v>76</v>
      </c>
      <c r="D536">
        <v>2</v>
      </c>
      <c r="E536" t="s">
        <v>25</v>
      </c>
      <c r="F536" t="s">
        <v>78</v>
      </c>
      <c r="G536" t="s">
        <v>30</v>
      </c>
      <c r="I536">
        <v>1</v>
      </c>
      <c r="J536" t="s">
        <v>74</v>
      </c>
      <c r="K536" s="1">
        <v>45082</v>
      </c>
      <c r="L536">
        <v>10</v>
      </c>
      <c r="M536">
        <v>1.5</v>
      </c>
    </row>
    <row r="537" spans="1:13" hidden="1" x14ac:dyDescent="0.25">
      <c r="A537" t="str">
        <f t="shared" si="8"/>
        <v>2023_NSW_WaggaWagga_Lupin_DetailedTOSTOS2VarietyWongaWaterTrtRainFed</v>
      </c>
      <c r="B537">
        <v>2023021</v>
      </c>
      <c r="C537" t="s">
        <v>76</v>
      </c>
      <c r="D537">
        <v>2</v>
      </c>
      <c r="E537" t="s">
        <v>25</v>
      </c>
      <c r="F537" t="s">
        <v>78</v>
      </c>
      <c r="G537" t="s">
        <v>30</v>
      </c>
      <c r="I537">
        <v>2</v>
      </c>
      <c r="J537" t="s">
        <v>75</v>
      </c>
      <c r="K537" s="1">
        <v>45126</v>
      </c>
      <c r="L537">
        <v>10.3</v>
      </c>
      <c r="M537">
        <v>1.6</v>
      </c>
    </row>
    <row r="538" spans="1:13" hidden="1" x14ac:dyDescent="0.25">
      <c r="A538" t="str">
        <f t="shared" si="8"/>
        <v>2023_NSW_WaggaWagga_Lupin_DetailedTOSTOS1VarietyMandelupWaterTrtIrrigated</v>
      </c>
      <c r="B538">
        <v>2023021</v>
      </c>
      <c r="C538" t="s">
        <v>76</v>
      </c>
      <c r="D538">
        <v>3</v>
      </c>
      <c r="E538" t="s">
        <v>31</v>
      </c>
      <c r="F538" t="s">
        <v>77</v>
      </c>
      <c r="G538" t="s">
        <v>27</v>
      </c>
      <c r="I538">
        <v>1</v>
      </c>
      <c r="J538" t="s">
        <v>74</v>
      </c>
      <c r="K538" s="1">
        <v>45117</v>
      </c>
      <c r="L538">
        <v>63.7</v>
      </c>
      <c r="M538">
        <v>9.3000000000000007</v>
      </c>
    </row>
    <row r="539" spans="1:13" hidden="1" x14ac:dyDescent="0.25">
      <c r="A539" t="str">
        <f t="shared" si="8"/>
        <v>2023_NSW_WaggaWagga_Lupin_DetailedTOSTOS2VarietyMandelupWaterTrtIrrigated</v>
      </c>
      <c r="B539">
        <v>2023021</v>
      </c>
      <c r="C539" t="s">
        <v>76</v>
      </c>
      <c r="D539">
        <v>3</v>
      </c>
      <c r="E539" t="s">
        <v>31</v>
      </c>
      <c r="F539" t="s">
        <v>77</v>
      </c>
      <c r="G539" t="s">
        <v>27</v>
      </c>
      <c r="I539">
        <v>2</v>
      </c>
      <c r="J539" t="s">
        <v>75</v>
      </c>
      <c r="K539" s="1">
        <v>45161</v>
      </c>
      <c r="L539">
        <v>73.599999999999994</v>
      </c>
      <c r="M539">
        <v>9.3000000000000007</v>
      </c>
    </row>
    <row r="540" spans="1:13" hidden="1" x14ac:dyDescent="0.25">
      <c r="A540" t="str">
        <f t="shared" si="8"/>
        <v>2023_NSW_WaggaWagga_Lupin_DetailedTOSTOS1VarietyMandelupWaterTrtRainFed</v>
      </c>
      <c r="B540">
        <v>2023021</v>
      </c>
      <c r="C540" t="s">
        <v>76</v>
      </c>
      <c r="D540">
        <v>3</v>
      </c>
      <c r="E540" t="s">
        <v>31</v>
      </c>
      <c r="F540" t="s">
        <v>77</v>
      </c>
      <c r="G540" t="s">
        <v>30</v>
      </c>
      <c r="I540">
        <v>1</v>
      </c>
      <c r="J540" t="s">
        <v>74</v>
      </c>
      <c r="K540" s="1">
        <v>45117</v>
      </c>
      <c r="L540">
        <v>59</v>
      </c>
      <c r="M540">
        <v>9.8000000000000007</v>
      </c>
    </row>
    <row r="541" spans="1:13" hidden="1" x14ac:dyDescent="0.25">
      <c r="A541" t="str">
        <f t="shared" si="8"/>
        <v>2023_NSW_WaggaWagga_Lupin_DetailedTOSTOS2VarietyMandelupWaterTrtRainFed</v>
      </c>
      <c r="B541">
        <v>2023021</v>
      </c>
      <c r="C541" t="s">
        <v>76</v>
      </c>
      <c r="D541">
        <v>3</v>
      </c>
      <c r="E541" t="s">
        <v>31</v>
      </c>
      <c r="F541" t="s">
        <v>77</v>
      </c>
      <c r="G541" t="s">
        <v>30</v>
      </c>
      <c r="I541">
        <v>2</v>
      </c>
      <c r="J541" t="s">
        <v>75</v>
      </c>
      <c r="K541" s="1">
        <v>45161</v>
      </c>
      <c r="L541">
        <v>75.900000000000006</v>
      </c>
      <c r="M541">
        <v>9.8000000000000007</v>
      </c>
    </row>
    <row r="542" spans="1:13" hidden="1" x14ac:dyDescent="0.25">
      <c r="A542" t="str">
        <f t="shared" si="8"/>
        <v>2023_NSW_WaggaWagga_Lupin_DetailedTOSTOS1VarietyBatemanWaterTrtIrrigated</v>
      </c>
      <c r="B542">
        <v>2023021</v>
      </c>
      <c r="C542" t="s">
        <v>76</v>
      </c>
      <c r="D542">
        <v>3</v>
      </c>
      <c r="E542" t="s">
        <v>31</v>
      </c>
      <c r="F542" t="s">
        <v>139</v>
      </c>
      <c r="G542" t="s">
        <v>27</v>
      </c>
      <c r="I542">
        <v>1</v>
      </c>
      <c r="J542" t="s">
        <v>74</v>
      </c>
      <c r="K542" s="1">
        <v>45117</v>
      </c>
      <c r="L542">
        <v>69.8</v>
      </c>
      <c r="M542">
        <v>9.4</v>
      </c>
    </row>
    <row r="543" spans="1:13" hidden="1" x14ac:dyDescent="0.25">
      <c r="A543" t="str">
        <f t="shared" si="8"/>
        <v>2023_NSW_WaggaWagga_Lupin_DetailedTOSTOS2VarietyBatemanWaterTrtIrrigated</v>
      </c>
      <c r="B543">
        <v>2023021</v>
      </c>
      <c r="C543" t="s">
        <v>76</v>
      </c>
      <c r="D543">
        <v>3</v>
      </c>
      <c r="E543" t="s">
        <v>31</v>
      </c>
      <c r="F543" t="s">
        <v>139</v>
      </c>
      <c r="G543" t="s">
        <v>27</v>
      </c>
      <c r="I543">
        <v>2</v>
      </c>
      <c r="J543" t="s">
        <v>75</v>
      </c>
      <c r="K543" s="1">
        <v>45161</v>
      </c>
      <c r="L543">
        <v>86.1</v>
      </c>
      <c r="M543">
        <v>9.4</v>
      </c>
    </row>
    <row r="544" spans="1:13" hidden="1" x14ac:dyDescent="0.25">
      <c r="A544" t="str">
        <f t="shared" si="8"/>
        <v>2023_NSW_WaggaWagga_Lupin_DetailedTOSTOS1VarietyBatemanWaterTrtRainFed</v>
      </c>
      <c r="B544">
        <v>2023021</v>
      </c>
      <c r="C544" t="s">
        <v>76</v>
      </c>
      <c r="D544">
        <v>3</v>
      </c>
      <c r="E544" t="s">
        <v>31</v>
      </c>
      <c r="F544" t="s">
        <v>139</v>
      </c>
      <c r="G544" t="s">
        <v>30</v>
      </c>
      <c r="I544">
        <v>1</v>
      </c>
      <c r="J544" t="s">
        <v>74</v>
      </c>
      <c r="K544" s="1">
        <v>45117</v>
      </c>
      <c r="L544">
        <v>53.8</v>
      </c>
      <c r="M544">
        <v>9.9</v>
      </c>
    </row>
    <row r="545" spans="1:13" hidden="1" x14ac:dyDescent="0.25">
      <c r="A545" t="str">
        <f t="shared" si="8"/>
        <v>2023_NSW_WaggaWagga_Lupin_DetailedTOSTOS2VarietyBatemanWaterTrtRainFed</v>
      </c>
      <c r="B545">
        <v>2023021</v>
      </c>
      <c r="C545" t="s">
        <v>76</v>
      </c>
      <c r="D545">
        <v>3</v>
      </c>
      <c r="E545" t="s">
        <v>31</v>
      </c>
      <c r="F545" t="s">
        <v>139</v>
      </c>
      <c r="G545" t="s">
        <v>30</v>
      </c>
      <c r="I545">
        <v>2</v>
      </c>
      <c r="J545" t="s">
        <v>75</v>
      </c>
      <c r="K545" s="1">
        <v>45161</v>
      </c>
      <c r="L545">
        <v>66.099999999999994</v>
      </c>
      <c r="M545">
        <v>9.9</v>
      </c>
    </row>
    <row r="546" spans="1:13" hidden="1" x14ac:dyDescent="0.25">
      <c r="A546" t="str">
        <f t="shared" si="8"/>
        <v>2023_NSW_WaggaWagga_Lupin_DetailedTOSTOS1VarietyJurienWaterTrtIrrigated</v>
      </c>
      <c r="B546">
        <v>2023021</v>
      </c>
      <c r="C546" t="s">
        <v>76</v>
      </c>
      <c r="D546">
        <v>3</v>
      </c>
      <c r="E546" t="s">
        <v>31</v>
      </c>
      <c r="F546" t="s">
        <v>140</v>
      </c>
      <c r="G546" t="s">
        <v>27</v>
      </c>
      <c r="I546">
        <v>1</v>
      </c>
      <c r="J546" t="s">
        <v>74</v>
      </c>
      <c r="K546" s="1">
        <v>45117</v>
      </c>
      <c r="L546">
        <v>51</v>
      </c>
      <c r="M546">
        <v>9.3000000000000007</v>
      </c>
    </row>
    <row r="547" spans="1:13" hidden="1" x14ac:dyDescent="0.25">
      <c r="A547" t="str">
        <f t="shared" si="8"/>
        <v>2023_NSW_WaggaWagga_Lupin_DetailedTOSTOS2VarietyJurienWaterTrtIrrigated</v>
      </c>
      <c r="B547">
        <v>2023021</v>
      </c>
      <c r="C547" t="s">
        <v>76</v>
      </c>
      <c r="D547">
        <v>3</v>
      </c>
      <c r="E547" t="s">
        <v>31</v>
      </c>
      <c r="F547" t="s">
        <v>140</v>
      </c>
      <c r="G547" t="s">
        <v>27</v>
      </c>
      <c r="I547">
        <v>2</v>
      </c>
      <c r="J547" t="s">
        <v>75</v>
      </c>
      <c r="K547" s="1">
        <v>45161</v>
      </c>
      <c r="L547">
        <v>58.5</v>
      </c>
      <c r="M547">
        <v>9.3000000000000007</v>
      </c>
    </row>
    <row r="548" spans="1:13" hidden="1" x14ac:dyDescent="0.25">
      <c r="A548" t="str">
        <f t="shared" si="8"/>
        <v>2023_NSW_WaggaWagga_Lupin_DetailedTOSTOS1VarietyJurienWaterTrtRainFed</v>
      </c>
      <c r="B548">
        <v>2023021</v>
      </c>
      <c r="C548" t="s">
        <v>76</v>
      </c>
      <c r="D548">
        <v>3</v>
      </c>
      <c r="E548" t="s">
        <v>31</v>
      </c>
      <c r="F548" t="s">
        <v>140</v>
      </c>
      <c r="G548" t="s">
        <v>30</v>
      </c>
      <c r="I548">
        <v>1</v>
      </c>
      <c r="J548" t="s">
        <v>74</v>
      </c>
      <c r="K548" s="1">
        <v>45117</v>
      </c>
      <c r="L548">
        <v>63</v>
      </c>
      <c r="M548">
        <v>9.8000000000000007</v>
      </c>
    </row>
    <row r="549" spans="1:13" hidden="1" x14ac:dyDescent="0.25">
      <c r="A549" t="str">
        <f t="shared" si="8"/>
        <v>2023_NSW_WaggaWagga_Lupin_DetailedTOSTOS2VarietyJurienWaterTrtRainFed</v>
      </c>
      <c r="B549">
        <v>2023021</v>
      </c>
      <c r="C549" t="s">
        <v>76</v>
      </c>
      <c r="D549">
        <v>3</v>
      </c>
      <c r="E549" t="s">
        <v>31</v>
      </c>
      <c r="F549" t="s">
        <v>140</v>
      </c>
      <c r="G549" t="s">
        <v>30</v>
      </c>
      <c r="I549">
        <v>2</v>
      </c>
      <c r="J549" t="s">
        <v>75</v>
      </c>
      <c r="K549" s="1">
        <v>45161</v>
      </c>
      <c r="L549">
        <v>60.3</v>
      </c>
      <c r="M549">
        <v>9.8000000000000007</v>
      </c>
    </row>
    <row r="550" spans="1:13" hidden="1" x14ac:dyDescent="0.25">
      <c r="A550" t="str">
        <f t="shared" si="8"/>
        <v>2023_NSW_WaggaWagga_Lupin_DetailedTOSTOS1VarietyWongaWaterTrtIrrigated</v>
      </c>
      <c r="B550">
        <v>2023021</v>
      </c>
      <c r="C550" t="s">
        <v>76</v>
      </c>
      <c r="D550">
        <v>3</v>
      </c>
      <c r="E550" t="s">
        <v>31</v>
      </c>
      <c r="F550" t="s">
        <v>78</v>
      </c>
      <c r="G550" t="s">
        <v>27</v>
      </c>
      <c r="I550">
        <v>1</v>
      </c>
      <c r="J550" t="s">
        <v>74</v>
      </c>
      <c r="K550" s="1">
        <v>45117</v>
      </c>
      <c r="L550">
        <v>52.7</v>
      </c>
      <c r="M550">
        <v>9.4</v>
      </c>
    </row>
    <row r="551" spans="1:13" hidden="1" x14ac:dyDescent="0.25">
      <c r="A551" t="str">
        <f t="shared" si="8"/>
        <v>2023_NSW_WaggaWagga_Lupin_DetailedTOSTOS2VarietyWongaWaterTrtIrrigated</v>
      </c>
      <c r="B551">
        <v>2023021</v>
      </c>
      <c r="C551" t="s">
        <v>76</v>
      </c>
      <c r="D551">
        <v>3</v>
      </c>
      <c r="E551" t="s">
        <v>31</v>
      </c>
      <c r="F551" t="s">
        <v>78</v>
      </c>
      <c r="G551" t="s">
        <v>27</v>
      </c>
      <c r="I551">
        <v>2</v>
      </c>
      <c r="J551" t="s">
        <v>75</v>
      </c>
      <c r="K551" s="1">
        <v>45161</v>
      </c>
      <c r="L551">
        <v>45.1</v>
      </c>
      <c r="M551">
        <v>9.4</v>
      </c>
    </row>
    <row r="552" spans="1:13" hidden="1" x14ac:dyDescent="0.25">
      <c r="A552" t="str">
        <f t="shared" si="8"/>
        <v>2023_NSW_WaggaWagga_Lupin_DetailedTOSTOS1VarietyWongaWaterTrtRainFed</v>
      </c>
      <c r="B552">
        <v>2023021</v>
      </c>
      <c r="C552" t="s">
        <v>76</v>
      </c>
      <c r="D552">
        <v>3</v>
      </c>
      <c r="E552" t="s">
        <v>31</v>
      </c>
      <c r="F552" t="s">
        <v>78</v>
      </c>
      <c r="G552" t="s">
        <v>30</v>
      </c>
      <c r="I552">
        <v>1</v>
      </c>
      <c r="J552" t="s">
        <v>74</v>
      </c>
      <c r="K552" s="1">
        <v>45117</v>
      </c>
      <c r="L552">
        <v>51.5</v>
      </c>
      <c r="M552">
        <v>9.9</v>
      </c>
    </row>
    <row r="553" spans="1:13" hidden="1" x14ac:dyDescent="0.25">
      <c r="A553" t="str">
        <f t="shared" si="8"/>
        <v>2023_NSW_WaggaWagga_Lupin_DetailedTOSTOS2VarietyWongaWaterTrtRainFed</v>
      </c>
      <c r="B553">
        <v>2023021</v>
      </c>
      <c r="C553" t="s">
        <v>76</v>
      </c>
      <c r="D553">
        <v>3</v>
      </c>
      <c r="E553" t="s">
        <v>31</v>
      </c>
      <c r="F553" t="s">
        <v>78</v>
      </c>
      <c r="G553" t="s">
        <v>30</v>
      </c>
      <c r="I553">
        <v>2</v>
      </c>
      <c r="J553" t="s">
        <v>75</v>
      </c>
      <c r="K553" s="1">
        <v>45161</v>
      </c>
      <c r="L553">
        <v>78.400000000000006</v>
      </c>
      <c r="M553">
        <v>9.9</v>
      </c>
    </row>
    <row r="554" spans="1:13" hidden="1" x14ac:dyDescent="0.25">
      <c r="A554" t="str">
        <f t="shared" si="8"/>
        <v>2023_NSW_WaggaWagga_Lupin_DetailedTOSTOS1VarietyMandelupWaterTrtIrrigated</v>
      </c>
      <c r="B554">
        <v>2023021</v>
      </c>
      <c r="C554" t="s">
        <v>76</v>
      </c>
      <c r="D554">
        <v>4</v>
      </c>
      <c r="E554" t="s">
        <v>32</v>
      </c>
      <c r="F554" t="s">
        <v>77</v>
      </c>
      <c r="G554" t="s">
        <v>27</v>
      </c>
      <c r="I554">
        <v>1</v>
      </c>
      <c r="J554" t="s">
        <v>74</v>
      </c>
      <c r="K554" s="1">
        <v>45149</v>
      </c>
      <c r="L554">
        <v>283</v>
      </c>
      <c r="M554">
        <v>39</v>
      </c>
    </row>
    <row r="555" spans="1:13" hidden="1" x14ac:dyDescent="0.25">
      <c r="A555" t="str">
        <f t="shared" si="8"/>
        <v>2023_NSW_WaggaWagga_Lupin_DetailedTOSTOS2VarietyMandelupWaterTrtIrrigated</v>
      </c>
      <c r="B555">
        <v>2023021</v>
      </c>
      <c r="C555" t="s">
        <v>76</v>
      </c>
      <c r="D555">
        <v>4</v>
      </c>
      <c r="E555" t="s">
        <v>32</v>
      </c>
      <c r="F555" t="s">
        <v>77</v>
      </c>
      <c r="G555" t="s">
        <v>27</v>
      </c>
      <c r="I555">
        <v>2</v>
      </c>
      <c r="J555" t="s">
        <v>75</v>
      </c>
      <c r="K555" s="1">
        <v>45182</v>
      </c>
      <c r="L555">
        <v>237</v>
      </c>
      <c r="M555">
        <v>39</v>
      </c>
    </row>
    <row r="556" spans="1:13" hidden="1" x14ac:dyDescent="0.25">
      <c r="A556" t="str">
        <f t="shared" si="8"/>
        <v>2023_NSW_WaggaWagga_Lupin_DetailedTOSTOS1VarietyMandelupWaterTrtRainFed</v>
      </c>
      <c r="B556">
        <v>2023021</v>
      </c>
      <c r="C556" t="s">
        <v>76</v>
      </c>
      <c r="D556">
        <v>4</v>
      </c>
      <c r="E556" t="s">
        <v>32</v>
      </c>
      <c r="F556" t="s">
        <v>77</v>
      </c>
      <c r="G556" t="s">
        <v>30</v>
      </c>
      <c r="I556">
        <v>1</v>
      </c>
      <c r="J556" t="s">
        <v>74</v>
      </c>
      <c r="K556" s="1">
        <v>45149</v>
      </c>
      <c r="L556">
        <v>266</v>
      </c>
      <c r="M556">
        <v>40</v>
      </c>
    </row>
    <row r="557" spans="1:13" hidden="1" x14ac:dyDescent="0.25">
      <c r="A557" t="str">
        <f t="shared" si="8"/>
        <v>2023_NSW_WaggaWagga_Lupin_DetailedTOSTOS2VarietyMandelupWaterTrtRainFed</v>
      </c>
      <c r="B557">
        <v>2023021</v>
      </c>
      <c r="C557" t="s">
        <v>76</v>
      </c>
      <c r="D557">
        <v>4</v>
      </c>
      <c r="E557" t="s">
        <v>32</v>
      </c>
      <c r="F557" t="s">
        <v>77</v>
      </c>
      <c r="G557" t="s">
        <v>30</v>
      </c>
      <c r="I557">
        <v>2</v>
      </c>
      <c r="J557" t="s">
        <v>75</v>
      </c>
      <c r="K557" s="1">
        <v>45182</v>
      </c>
      <c r="L557">
        <v>258</v>
      </c>
      <c r="M557">
        <v>40</v>
      </c>
    </row>
    <row r="558" spans="1:13" hidden="1" x14ac:dyDescent="0.25">
      <c r="A558" t="str">
        <f t="shared" si="8"/>
        <v>2023_NSW_WaggaWagga_Lupin_DetailedTOSTOS1VarietyBatemanWaterTrtIrrigated</v>
      </c>
      <c r="B558">
        <v>2023021</v>
      </c>
      <c r="C558" t="s">
        <v>76</v>
      </c>
      <c r="D558">
        <v>4</v>
      </c>
      <c r="E558" t="s">
        <v>32</v>
      </c>
      <c r="F558" t="s">
        <v>139</v>
      </c>
      <c r="G558" t="s">
        <v>27</v>
      </c>
      <c r="I558">
        <v>1</v>
      </c>
      <c r="J558" t="s">
        <v>74</v>
      </c>
      <c r="K558" s="1">
        <v>45153</v>
      </c>
      <c r="L558">
        <v>331</v>
      </c>
      <c r="M558">
        <v>39</v>
      </c>
    </row>
    <row r="559" spans="1:13" hidden="1" x14ac:dyDescent="0.25">
      <c r="A559" t="str">
        <f t="shared" si="8"/>
        <v>2023_NSW_WaggaWagga_Lupin_DetailedTOSTOS2VarietyBatemanWaterTrtIrrigated</v>
      </c>
      <c r="B559">
        <v>2023021</v>
      </c>
      <c r="C559" t="s">
        <v>76</v>
      </c>
      <c r="D559">
        <v>4</v>
      </c>
      <c r="E559" t="s">
        <v>32</v>
      </c>
      <c r="F559" t="s">
        <v>139</v>
      </c>
      <c r="G559" t="s">
        <v>27</v>
      </c>
      <c r="I559">
        <v>2</v>
      </c>
      <c r="J559" t="s">
        <v>75</v>
      </c>
      <c r="K559" s="1">
        <v>45184</v>
      </c>
      <c r="L559">
        <v>305</v>
      </c>
      <c r="M559">
        <v>39</v>
      </c>
    </row>
    <row r="560" spans="1:13" hidden="1" x14ac:dyDescent="0.25">
      <c r="A560" t="str">
        <f t="shared" si="8"/>
        <v>2023_NSW_WaggaWagga_Lupin_DetailedTOSTOS1VarietyBatemanWaterTrtRainFed</v>
      </c>
      <c r="B560">
        <v>2023021</v>
      </c>
      <c r="C560" t="s">
        <v>76</v>
      </c>
      <c r="D560">
        <v>4</v>
      </c>
      <c r="E560" t="s">
        <v>32</v>
      </c>
      <c r="F560" t="s">
        <v>139</v>
      </c>
      <c r="G560" t="s">
        <v>30</v>
      </c>
      <c r="I560">
        <v>1</v>
      </c>
      <c r="J560" t="s">
        <v>74</v>
      </c>
      <c r="K560" s="1">
        <v>45153</v>
      </c>
      <c r="L560">
        <v>329</v>
      </c>
      <c r="M560">
        <v>40</v>
      </c>
    </row>
    <row r="561" spans="1:13" hidden="1" x14ac:dyDescent="0.25">
      <c r="A561" t="str">
        <f t="shared" si="8"/>
        <v>2023_NSW_WaggaWagga_Lupin_DetailedTOSTOS2VarietyBatemanWaterTrtRainFed</v>
      </c>
      <c r="B561">
        <v>2023021</v>
      </c>
      <c r="C561" t="s">
        <v>76</v>
      </c>
      <c r="D561">
        <v>4</v>
      </c>
      <c r="E561" t="s">
        <v>32</v>
      </c>
      <c r="F561" t="s">
        <v>139</v>
      </c>
      <c r="G561" t="s">
        <v>30</v>
      </c>
      <c r="I561">
        <v>2</v>
      </c>
      <c r="J561" t="s">
        <v>75</v>
      </c>
      <c r="K561" s="1">
        <v>45184</v>
      </c>
      <c r="L561">
        <v>237</v>
      </c>
      <c r="M561">
        <v>40</v>
      </c>
    </row>
    <row r="562" spans="1:13" hidden="1" x14ac:dyDescent="0.25">
      <c r="A562" t="str">
        <f t="shared" si="8"/>
        <v>2023_NSW_WaggaWagga_Lupin_DetailedTOSTOS1VarietyJurienWaterTrtIrrigated</v>
      </c>
      <c r="B562">
        <v>2023021</v>
      </c>
      <c r="C562" t="s">
        <v>76</v>
      </c>
      <c r="D562">
        <v>4</v>
      </c>
      <c r="E562" t="s">
        <v>32</v>
      </c>
      <c r="F562" t="s">
        <v>140</v>
      </c>
      <c r="G562" t="s">
        <v>27</v>
      </c>
      <c r="I562">
        <v>1</v>
      </c>
      <c r="J562" t="s">
        <v>74</v>
      </c>
      <c r="K562" s="1">
        <v>45153</v>
      </c>
      <c r="L562">
        <v>205</v>
      </c>
      <c r="M562">
        <v>39</v>
      </c>
    </row>
    <row r="563" spans="1:13" hidden="1" x14ac:dyDescent="0.25">
      <c r="A563" t="str">
        <f t="shared" si="8"/>
        <v>2023_NSW_WaggaWagga_Lupin_DetailedTOSTOS2VarietyJurienWaterTrtIrrigated</v>
      </c>
      <c r="B563">
        <v>2023021</v>
      </c>
      <c r="C563" t="s">
        <v>76</v>
      </c>
      <c r="D563">
        <v>4</v>
      </c>
      <c r="E563" t="s">
        <v>32</v>
      </c>
      <c r="F563" t="s">
        <v>140</v>
      </c>
      <c r="G563" t="s">
        <v>27</v>
      </c>
      <c r="I563">
        <v>2</v>
      </c>
      <c r="J563" t="s">
        <v>75</v>
      </c>
      <c r="K563" s="1">
        <v>45182</v>
      </c>
      <c r="L563">
        <v>235</v>
      </c>
      <c r="M563">
        <v>39</v>
      </c>
    </row>
    <row r="564" spans="1:13" hidden="1" x14ac:dyDescent="0.25">
      <c r="A564" t="str">
        <f t="shared" si="8"/>
        <v>2023_NSW_WaggaWagga_Lupin_DetailedTOSTOS1VarietyJurienWaterTrtRainFed</v>
      </c>
      <c r="B564">
        <v>2023021</v>
      </c>
      <c r="C564" t="s">
        <v>76</v>
      </c>
      <c r="D564">
        <v>4</v>
      </c>
      <c r="E564" t="s">
        <v>32</v>
      </c>
      <c r="F564" t="s">
        <v>140</v>
      </c>
      <c r="G564" t="s">
        <v>30</v>
      </c>
      <c r="I564">
        <v>1</v>
      </c>
      <c r="J564" t="s">
        <v>74</v>
      </c>
      <c r="K564" s="1">
        <v>45153</v>
      </c>
      <c r="L564">
        <v>279</v>
      </c>
      <c r="M564">
        <v>40</v>
      </c>
    </row>
    <row r="565" spans="1:13" hidden="1" x14ac:dyDescent="0.25">
      <c r="A565" t="str">
        <f t="shared" si="8"/>
        <v>2023_NSW_WaggaWagga_Lupin_DetailedTOSTOS2VarietyJurienWaterTrtRainFed</v>
      </c>
      <c r="B565">
        <v>2023021</v>
      </c>
      <c r="C565" t="s">
        <v>76</v>
      </c>
      <c r="D565">
        <v>4</v>
      </c>
      <c r="E565" t="s">
        <v>32</v>
      </c>
      <c r="F565" t="s">
        <v>140</v>
      </c>
      <c r="G565" t="s">
        <v>30</v>
      </c>
      <c r="I565">
        <v>2</v>
      </c>
      <c r="J565" t="s">
        <v>75</v>
      </c>
      <c r="K565" s="1">
        <v>45182</v>
      </c>
      <c r="L565">
        <v>212</v>
      </c>
      <c r="M565">
        <v>40</v>
      </c>
    </row>
    <row r="566" spans="1:13" hidden="1" x14ac:dyDescent="0.25">
      <c r="A566" t="str">
        <f t="shared" si="8"/>
        <v>2023_NSW_WaggaWagga_Lupin_DetailedTOSTOS1VarietyWongaWaterTrtIrrigated</v>
      </c>
      <c r="B566">
        <v>2023021</v>
      </c>
      <c r="C566" t="s">
        <v>76</v>
      </c>
      <c r="D566">
        <v>4</v>
      </c>
      <c r="E566" t="s">
        <v>32</v>
      </c>
      <c r="F566" t="s">
        <v>78</v>
      </c>
      <c r="G566" t="s">
        <v>27</v>
      </c>
      <c r="I566">
        <v>1</v>
      </c>
      <c r="J566" t="s">
        <v>74</v>
      </c>
      <c r="K566" s="1">
        <v>45161</v>
      </c>
      <c r="L566">
        <v>369</v>
      </c>
      <c r="M566">
        <v>39</v>
      </c>
    </row>
    <row r="567" spans="1:13" hidden="1" x14ac:dyDescent="0.25">
      <c r="A567" t="str">
        <f t="shared" si="8"/>
        <v>2023_NSW_WaggaWagga_Lupin_DetailedTOSTOS2VarietyWongaWaterTrtIrrigated</v>
      </c>
      <c r="B567">
        <v>2023021</v>
      </c>
      <c r="C567" t="s">
        <v>76</v>
      </c>
      <c r="D567">
        <v>4</v>
      </c>
      <c r="E567" t="s">
        <v>32</v>
      </c>
      <c r="F567" t="s">
        <v>78</v>
      </c>
      <c r="G567" t="s">
        <v>27</v>
      </c>
      <c r="I567">
        <v>2</v>
      </c>
      <c r="J567" t="s">
        <v>75</v>
      </c>
      <c r="K567" s="1">
        <v>45187</v>
      </c>
      <c r="L567">
        <v>288</v>
      </c>
      <c r="M567">
        <v>39</v>
      </c>
    </row>
    <row r="568" spans="1:13" hidden="1" x14ac:dyDescent="0.25">
      <c r="A568" t="str">
        <f t="shared" si="8"/>
        <v>2023_NSW_WaggaWagga_Lupin_DetailedTOSTOS1VarietyWongaWaterTrtRainFed</v>
      </c>
      <c r="B568">
        <v>2023021</v>
      </c>
      <c r="C568" t="s">
        <v>76</v>
      </c>
      <c r="D568">
        <v>4</v>
      </c>
      <c r="E568" t="s">
        <v>32</v>
      </c>
      <c r="F568" t="s">
        <v>78</v>
      </c>
      <c r="G568" t="s">
        <v>30</v>
      </c>
      <c r="I568">
        <v>1</v>
      </c>
      <c r="J568" t="s">
        <v>74</v>
      </c>
      <c r="K568" s="1">
        <v>45161</v>
      </c>
      <c r="L568">
        <v>374</v>
      </c>
      <c r="M568">
        <v>40</v>
      </c>
    </row>
    <row r="569" spans="1:13" hidden="1" x14ac:dyDescent="0.25">
      <c r="A569" t="str">
        <f t="shared" si="8"/>
        <v>2023_NSW_WaggaWagga_Lupin_DetailedTOSTOS2VarietyWongaWaterTrtRainFed</v>
      </c>
      <c r="B569">
        <v>2023021</v>
      </c>
      <c r="C569" t="s">
        <v>76</v>
      </c>
      <c r="D569">
        <v>4</v>
      </c>
      <c r="E569" t="s">
        <v>32</v>
      </c>
      <c r="F569" t="s">
        <v>78</v>
      </c>
      <c r="G569" t="s">
        <v>30</v>
      </c>
      <c r="I569">
        <v>2</v>
      </c>
      <c r="J569" t="s">
        <v>75</v>
      </c>
      <c r="K569" s="1">
        <v>45187</v>
      </c>
      <c r="L569">
        <v>238</v>
      </c>
      <c r="M569">
        <v>40</v>
      </c>
    </row>
    <row r="570" spans="1:13" hidden="1" x14ac:dyDescent="0.25">
      <c r="A570" t="str">
        <f t="shared" si="8"/>
        <v>2023_NSW_WaggaWagga_Lupin_DetailedTOSTOS1VarietyMandelupWaterTrtIrrigated</v>
      </c>
      <c r="B570">
        <v>2023021</v>
      </c>
      <c r="C570" t="s">
        <v>76</v>
      </c>
      <c r="D570">
        <v>5</v>
      </c>
      <c r="E570" t="s">
        <v>33</v>
      </c>
      <c r="F570" t="s">
        <v>77</v>
      </c>
      <c r="G570" t="s">
        <v>27</v>
      </c>
      <c r="I570">
        <v>1</v>
      </c>
      <c r="J570" t="s">
        <v>74</v>
      </c>
      <c r="K570" s="1">
        <v>45197</v>
      </c>
      <c r="L570">
        <v>946</v>
      </c>
      <c r="M570">
        <v>86</v>
      </c>
    </row>
    <row r="571" spans="1:13" hidden="1" x14ac:dyDescent="0.25">
      <c r="A571" t="str">
        <f t="shared" si="8"/>
        <v>2023_NSW_WaggaWagga_Lupin_DetailedTOSTOS2VarietyMandelupWaterTrtIrrigated</v>
      </c>
      <c r="B571">
        <v>2023021</v>
      </c>
      <c r="C571" t="s">
        <v>76</v>
      </c>
      <c r="D571">
        <v>5</v>
      </c>
      <c r="E571" t="s">
        <v>33</v>
      </c>
      <c r="F571" t="s">
        <v>77</v>
      </c>
      <c r="G571" t="s">
        <v>27</v>
      </c>
      <c r="I571">
        <v>2</v>
      </c>
      <c r="J571" t="s">
        <v>75</v>
      </c>
      <c r="K571" s="1">
        <v>45217</v>
      </c>
      <c r="L571">
        <v>1154</v>
      </c>
      <c r="M571">
        <v>86</v>
      </c>
    </row>
    <row r="572" spans="1:13" hidden="1" x14ac:dyDescent="0.25">
      <c r="A572" t="str">
        <f t="shared" si="8"/>
        <v>2023_NSW_WaggaWagga_Lupin_DetailedTOSTOS1VarietyMandelupWaterTrtRainFed</v>
      </c>
      <c r="B572">
        <v>2023021</v>
      </c>
      <c r="C572" t="s">
        <v>76</v>
      </c>
      <c r="D572">
        <v>5</v>
      </c>
      <c r="E572" t="s">
        <v>33</v>
      </c>
      <c r="F572" t="s">
        <v>77</v>
      </c>
      <c r="G572" t="s">
        <v>30</v>
      </c>
      <c r="I572">
        <v>1</v>
      </c>
      <c r="J572" t="s">
        <v>74</v>
      </c>
      <c r="K572" s="1">
        <v>45197</v>
      </c>
      <c r="L572">
        <v>1141</v>
      </c>
      <c r="M572">
        <v>89</v>
      </c>
    </row>
    <row r="573" spans="1:13" hidden="1" x14ac:dyDescent="0.25">
      <c r="A573" t="str">
        <f t="shared" si="8"/>
        <v>2023_NSW_WaggaWagga_Lupin_DetailedTOSTOS2VarietyMandelupWaterTrtRainFed</v>
      </c>
      <c r="B573">
        <v>2023021</v>
      </c>
      <c r="C573" t="s">
        <v>76</v>
      </c>
      <c r="D573">
        <v>5</v>
      </c>
      <c r="E573" t="s">
        <v>33</v>
      </c>
      <c r="F573" t="s">
        <v>77</v>
      </c>
      <c r="G573" t="s">
        <v>30</v>
      </c>
      <c r="I573">
        <v>2</v>
      </c>
      <c r="J573" t="s">
        <v>75</v>
      </c>
      <c r="K573" s="1">
        <v>45210</v>
      </c>
      <c r="L573">
        <v>775</v>
      </c>
      <c r="M573">
        <v>89</v>
      </c>
    </row>
    <row r="574" spans="1:13" hidden="1" x14ac:dyDescent="0.25">
      <c r="A574" t="str">
        <f t="shared" si="8"/>
        <v>2023_NSW_WaggaWagga_Lupin_DetailedTOSTOS1VarietyBatemanWaterTrtIrrigated</v>
      </c>
      <c r="B574">
        <v>2023021</v>
      </c>
      <c r="C574" t="s">
        <v>76</v>
      </c>
      <c r="D574">
        <v>5</v>
      </c>
      <c r="E574" t="s">
        <v>33</v>
      </c>
      <c r="F574" t="s">
        <v>139</v>
      </c>
      <c r="G574" t="s">
        <v>27</v>
      </c>
      <c r="I574">
        <v>1</v>
      </c>
      <c r="J574" t="s">
        <v>74</v>
      </c>
      <c r="K574" s="1">
        <v>45211</v>
      </c>
      <c r="L574">
        <v>1404</v>
      </c>
      <c r="M574">
        <v>87</v>
      </c>
    </row>
    <row r="575" spans="1:13" hidden="1" x14ac:dyDescent="0.25">
      <c r="A575" t="str">
        <f t="shared" si="8"/>
        <v>2023_NSW_WaggaWagga_Lupin_DetailedTOSTOS2VarietyBatemanWaterTrtIrrigated</v>
      </c>
      <c r="B575">
        <v>2023021</v>
      </c>
      <c r="C575" t="s">
        <v>76</v>
      </c>
      <c r="D575">
        <v>5</v>
      </c>
      <c r="E575" t="s">
        <v>33</v>
      </c>
      <c r="F575" t="s">
        <v>139</v>
      </c>
      <c r="G575" t="s">
        <v>27</v>
      </c>
      <c r="I575">
        <v>2</v>
      </c>
      <c r="J575" t="s">
        <v>75</v>
      </c>
      <c r="K575" s="1">
        <v>45211</v>
      </c>
      <c r="L575">
        <v>869</v>
      </c>
      <c r="M575">
        <v>87</v>
      </c>
    </row>
    <row r="576" spans="1:13" hidden="1" x14ac:dyDescent="0.25">
      <c r="A576" t="str">
        <f t="shared" si="8"/>
        <v>2023_NSW_WaggaWagga_Lupin_DetailedTOSTOS1VarietyBatemanWaterTrtRainFed</v>
      </c>
      <c r="B576">
        <v>2023021</v>
      </c>
      <c r="C576" t="s">
        <v>76</v>
      </c>
      <c r="D576">
        <v>5</v>
      </c>
      <c r="E576" t="s">
        <v>33</v>
      </c>
      <c r="F576" t="s">
        <v>139</v>
      </c>
      <c r="G576" t="s">
        <v>30</v>
      </c>
      <c r="I576">
        <v>1</v>
      </c>
      <c r="J576" t="s">
        <v>74</v>
      </c>
      <c r="K576" s="1">
        <v>45211</v>
      </c>
      <c r="L576">
        <v>1210</v>
      </c>
      <c r="M576">
        <v>89</v>
      </c>
    </row>
    <row r="577" spans="1:25" hidden="1" x14ac:dyDescent="0.25">
      <c r="A577" t="str">
        <f t="shared" si="8"/>
        <v>2023_NSW_WaggaWagga_Lupin_DetailedTOSTOS2VarietyBatemanWaterTrtRainFed</v>
      </c>
      <c r="B577">
        <v>2023021</v>
      </c>
      <c r="C577" t="s">
        <v>76</v>
      </c>
      <c r="D577">
        <v>5</v>
      </c>
      <c r="E577" t="s">
        <v>33</v>
      </c>
      <c r="F577" t="s">
        <v>139</v>
      </c>
      <c r="G577" t="s">
        <v>30</v>
      </c>
      <c r="I577">
        <v>2</v>
      </c>
      <c r="J577" t="s">
        <v>75</v>
      </c>
      <c r="K577" s="1">
        <v>45211</v>
      </c>
      <c r="L577">
        <v>787</v>
      </c>
      <c r="M577">
        <v>89</v>
      </c>
    </row>
    <row r="578" spans="1:25" hidden="1" x14ac:dyDescent="0.25">
      <c r="A578" t="str">
        <f t="shared" si="8"/>
        <v>2023_NSW_WaggaWagga_Lupin_DetailedTOSTOS1VarietyJurienWaterTrtIrrigated</v>
      </c>
      <c r="B578">
        <v>2023021</v>
      </c>
      <c r="C578" t="s">
        <v>76</v>
      </c>
      <c r="D578">
        <v>5</v>
      </c>
      <c r="E578" t="s">
        <v>33</v>
      </c>
      <c r="F578" t="s">
        <v>140</v>
      </c>
      <c r="G578" t="s">
        <v>27</v>
      </c>
      <c r="I578">
        <v>1</v>
      </c>
      <c r="J578" t="s">
        <v>74</v>
      </c>
      <c r="K578" s="1">
        <v>45210</v>
      </c>
      <c r="L578">
        <v>1376</v>
      </c>
      <c r="M578">
        <v>86</v>
      </c>
    </row>
    <row r="579" spans="1:25" hidden="1" x14ac:dyDescent="0.25">
      <c r="A579" t="str">
        <f t="shared" ref="A579:A642" si="9">C579&amp;"TOSTOS"&amp;I579&amp;"Variety"&amp;F579&amp;"WaterTrt"&amp;G579&amp;IF(H579="","","Agronomy"&amp;H579)</f>
        <v>2023_NSW_WaggaWagga_Lupin_DetailedTOSTOS2VarietyJurienWaterTrtIrrigated</v>
      </c>
      <c r="B579">
        <v>2023021</v>
      </c>
      <c r="C579" t="s">
        <v>76</v>
      </c>
      <c r="D579">
        <v>5</v>
      </c>
      <c r="E579" t="s">
        <v>33</v>
      </c>
      <c r="F579" t="s">
        <v>140</v>
      </c>
      <c r="G579" t="s">
        <v>27</v>
      </c>
      <c r="I579">
        <v>2</v>
      </c>
      <c r="J579" t="s">
        <v>75</v>
      </c>
      <c r="K579" s="1">
        <v>45217</v>
      </c>
      <c r="L579">
        <v>1031</v>
      </c>
      <c r="M579">
        <v>86</v>
      </c>
    </row>
    <row r="580" spans="1:25" hidden="1" x14ac:dyDescent="0.25">
      <c r="A580" t="str">
        <f t="shared" si="9"/>
        <v>2023_NSW_WaggaWagga_Lupin_DetailedTOSTOS1VarietyJurienWaterTrtRainFed</v>
      </c>
      <c r="B580">
        <v>2023021</v>
      </c>
      <c r="C580" t="s">
        <v>76</v>
      </c>
      <c r="D580">
        <v>5</v>
      </c>
      <c r="E580" t="s">
        <v>33</v>
      </c>
      <c r="F580" t="s">
        <v>140</v>
      </c>
      <c r="G580" t="s">
        <v>30</v>
      </c>
      <c r="I580">
        <v>1</v>
      </c>
      <c r="J580" t="s">
        <v>74</v>
      </c>
      <c r="K580" s="1">
        <v>45210</v>
      </c>
      <c r="L580">
        <v>1257</v>
      </c>
      <c r="M580">
        <v>89</v>
      </c>
    </row>
    <row r="581" spans="1:25" hidden="1" x14ac:dyDescent="0.25">
      <c r="A581" t="str">
        <f t="shared" si="9"/>
        <v>2023_NSW_WaggaWagga_Lupin_DetailedTOSTOS2VarietyJurienWaterTrtRainFed</v>
      </c>
      <c r="B581">
        <v>2023021</v>
      </c>
      <c r="C581" t="s">
        <v>76</v>
      </c>
      <c r="D581">
        <v>5</v>
      </c>
      <c r="E581" t="s">
        <v>33</v>
      </c>
      <c r="F581" t="s">
        <v>140</v>
      </c>
      <c r="G581" t="s">
        <v>30</v>
      </c>
      <c r="I581">
        <v>2</v>
      </c>
      <c r="J581" t="s">
        <v>75</v>
      </c>
      <c r="K581" s="1">
        <v>45210</v>
      </c>
      <c r="L581">
        <v>1009</v>
      </c>
      <c r="M581">
        <v>89</v>
      </c>
    </row>
    <row r="582" spans="1:25" hidden="1" x14ac:dyDescent="0.25">
      <c r="A582" t="str">
        <f t="shared" si="9"/>
        <v>2023_NSW_WaggaWagga_Lupin_DetailedTOSTOS1VarietyWongaWaterTrtIrrigated</v>
      </c>
      <c r="B582">
        <v>2023021</v>
      </c>
      <c r="C582" t="s">
        <v>76</v>
      </c>
      <c r="D582">
        <v>5</v>
      </c>
      <c r="E582" t="s">
        <v>33</v>
      </c>
      <c r="F582" t="s">
        <v>78</v>
      </c>
      <c r="G582" t="s">
        <v>27</v>
      </c>
      <c r="I582">
        <v>1</v>
      </c>
      <c r="J582" t="s">
        <v>74</v>
      </c>
      <c r="K582" s="1">
        <v>45217</v>
      </c>
      <c r="L582">
        <v>1812</v>
      </c>
      <c r="M582">
        <v>87</v>
      </c>
    </row>
    <row r="583" spans="1:25" hidden="1" x14ac:dyDescent="0.25">
      <c r="A583" t="str">
        <f t="shared" si="9"/>
        <v>2023_NSW_WaggaWagga_Lupin_DetailedTOSTOS2VarietyWongaWaterTrtIrrigated</v>
      </c>
      <c r="B583">
        <v>2023021</v>
      </c>
      <c r="C583" t="s">
        <v>76</v>
      </c>
      <c r="D583">
        <v>5</v>
      </c>
      <c r="E583" t="s">
        <v>33</v>
      </c>
      <c r="F583" t="s">
        <v>78</v>
      </c>
      <c r="G583" t="s">
        <v>27</v>
      </c>
      <c r="I583">
        <v>2</v>
      </c>
      <c r="J583" t="s">
        <v>75</v>
      </c>
      <c r="K583" s="1">
        <v>45217</v>
      </c>
      <c r="L583">
        <v>964</v>
      </c>
      <c r="M583">
        <v>87</v>
      </c>
    </row>
    <row r="584" spans="1:25" hidden="1" x14ac:dyDescent="0.25">
      <c r="A584" t="str">
        <f t="shared" si="9"/>
        <v>2023_NSW_WaggaWagga_Lupin_DetailedTOSTOS1VarietyWongaWaterTrtRainFed</v>
      </c>
      <c r="B584">
        <v>2023021</v>
      </c>
      <c r="C584" t="s">
        <v>76</v>
      </c>
      <c r="D584">
        <v>5</v>
      </c>
      <c r="E584" t="s">
        <v>33</v>
      </c>
      <c r="F584" t="s">
        <v>78</v>
      </c>
      <c r="G584" t="s">
        <v>30</v>
      </c>
      <c r="I584">
        <v>1</v>
      </c>
      <c r="J584" t="s">
        <v>74</v>
      </c>
      <c r="K584" s="1">
        <v>45217</v>
      </c>
      <c r="L584">
        <v>1317</v>
      </c>
      <c r="M584">
        <v>89</v>
      </c>
    </row>
    <row r="585" spans="1:25" hidden="1" x14ac:dyDescent="0.25">
      <c r="A585" t="str">
        <f t="shared" si="9"/>
        <v>2023_NSW_WaggaWagga_Lupin_DetailedTOSTOS2VarietyWongaWaterTrtRainFed</v>
      </c>
      <c r="B585">
        <v>2023021</v>
      </c>
      <c r="C585" t="s">
        <v>76</v>
      </c>
      <c r="D585">
        <v>5</v>
      </c>
      <c r="E585" t="s">
        <v>33</v>
      </c>
      <c r="F585" t="s">
        <v>78</v>
      </c>
      <c r="G585" t="s">
        <v>30</v>
      </c>
      <c r="I585">
        <v>2</v>
      </c>
      <c r="J585" t="s">
        <v>75</v>
      </c>
      <c r="K585" s="1">
        <v>45217</v>
      </c>
      <c r="L585">
        <v>945</v>
      </c>
      <c r="M585">
        <v>89</v>
      </c>
    </row>
    <row r="586" spans="1:25" hidden="1" x14ac:dyDescent="0.25">
      <c r="A586" t="str">
        <f t="shared" si="9"/>
        <v>2023_NSW_WaggaWagga_Lupin_DetailedTOSTOS1VarietyMandelupWaterTrtIrrigated</v>
      </c>
      <c r="B586">
        <v>2023021</v>
      </c>
      <c r="C586" t="s">
        <v>76</v>
      </c>
      <c r="D586">
        <v>6</v>
      </c>
      <c r="E586" t="s">
        <v>34</v>
      </c>
      <c r="F586" t="s">
        <v>77</v>
      </c>
      <c r="G586" t="s">
        <v>27</v>
      </c>
      <c r="I586">
        <v>1</v>
      </c>
      <c r="J586" t="s">
        <v>74</v>
      </c>
      <c r="K586" s="1">
        <v>45237</v>
      </c>
      <c r="L586">
        <v>1265</v>
      </c>
      <c r="M586">
        <v>95</v>
      </c>
      <c r="N586">
        <v>0.31900000000000001</v>
      </c>
      <c r="O586">
        <v>2.4E-2</v>
      </c>
      <c r="P586">
        <v>981</v>
      </c>
      <c r="Q586">
        <v>79</v>
      </c>
      <c r="T586">
        <v>2926</v>
      </c>
      <c r="U586">
        <v>310</v>
      </c>
      <c r="V586">
        <v>161.82999999999899</v>
      </c>
      <c r="W586">
        <v>6.8927441212882803</v>
      </c>
      <c r="X586">
        <v>376</v>
      </c>
      <c r="Y586">
        <v>34</v>
      </c>
    </row>
    <row r="587" spans="1:25" hidden="1" x14ac:dyDescent="0.25">
      <c r="A587" t="str">
        <f t="shared" si="9"/>
        <v>2023_NSW_WaggaWagga_Lupin_DetailedTOSTOS2VarietyMandelupWaterTrtIrrigated</v>
      </c>
      <c r="B587">
        <v>2023021</v>
      </c>
      <c r="C587" t="s">
        <v>76</v>
      </c>
      <c r="D587">
        <v>6</v>
      </c>
      <c r="E587" t="s">
        <v>34</v>
      </c>
      <c r="F587" t="s">
        <v>77</v>
      </c>
      <c r="G587" t="s">
        <v>27</v>
      </c>
      <c r="I587">
        <v>2</v>
      </c>
      <c r="J587" t="s">
        <v>75</v>
      </c>
      <c r="K587" s="1">
        <v>45246</v>
      </c>
      <c r="L587">
        <v>876</v>
      </c>
      <c r="M587">
        <v>95</v>
      </c>
      <c r="N587">
        <v>0.36299999999999999</v>
      </c>
      <c r="O587">
        <v>2.4E-2</v>
      </c>
      <c r="P587">
        <v>616</v>
      </c>
      <c r="Q587">
        <v>70</v>
      </c>
      <c r="T587">
        <v>2799</v>
      </c>
      <c r="U587">
        <v>310</v>
      </c>
      <c r="V587">
        <v>141.0575</v>
      </c>
      <c r="W587">
        <v>3.5390309558040798</v>
      </c>
      <c r="X587">
        <v>327</v>
      </c>
      <c r="Y587">
        <v>34</v>
      </c>
    </row>
    <row r="588" spans="1:25" hidden="1" x14ac:dyDescent="0.25">
      <c r="A588" t="str">
        <f t="shared" si="9"/>
        <v>2023_NSW_WaggaWagga_Lupin_DetailedTOSTOS1VarietyMandelupWaterTrtRainFed</v>
      </c>
      <c r="B588">
        <v>2023021</v>
      </c>
      <c r="C588" t="s">
        <v>76</v>
      </c>
      <c r="D588">
        <v>6</v>
      </c>
      <c r="E588" t="s">
        <v>34</v>
      </c>
      <c r="F588" t="s">
        <v>77</v>
      </c>
      <c r="G588" t="s">
        <v>30</v>
      </c>
      <c r="I588">
        <v>1</v>
      </c>
      <c r="J588" t="s">
        <v>74</v>
      </c>
      <c r="K588" s="1">
        <v>45237</v>
      </c>
      <c r="L588">
        <v>1115</v>
      </c>
      <c r="M588">
        <v>98</v>
      </c>
      <c r="N588">
        <v>0.29599999999999999</v>
      </c>
      <c r="O588">
        <v>2.4E-2</v>
      </c>
      <c r="P588">
        <v>666</v>
      </c>
      <c r="Q588">
        <v>93</v>
      </c>
      <c r="T588">
        <v>2689</v>
      </c>
      <c r="U588">
        <v>330</v>
      </c>
      <c r="V588">
        <v>152.63999999999999</v>
      </c>
      <c r="W588">
        <v>6.8927443388610401</v>
      </c>
      <c r="X588">
        <v>341</v>
      </c>
      <c r="Y588">
        <v>34</v>
      </c>
    </row>
    <row r="589" spans="1:25" hidden="1" x14ac:dyDescent="0.25">
      <c r="A589" t="str">
        <f t="shared" si="9"/>
        <v>2023_NSW_WaggaWagga_Lupin_DetailedTOSTOS2VarietyMandelupWaterTrtRainFed</v>
      </c>
      <c r="B589">
        <v>2023021</v>
      </c>
      <c r="C589" t="s">
        <v>76</v>
      </c>
      <c r="D589">
        <v>6</v>
      </c>
      <c r="E589" t="s">
        <v>34</v>
      </c>
      <c r="F589" t="s">
        <v>77</v>
      </c>
      <c r="G589" t="s">
        <v>30</v>
      </c>
      <c r="I589">
        <v>2</v>
      </c>
      <c r="J589" t="s">
        <v>75</v>
      </c>
      <c r="K589" s="1">
        <v>45237</v>
      </c>
      <c r="L589">
        <v>985</v>
      </c>
      <c r="M589">
        <v>98</v>
      </c>
      <c r="N589">
        <v>0.33600000000000002</v>
      </c>
      <c r="O589">
        <v>2.4E-2</v>
      </c>
      <c r="P589">
        <v>715</v>
      </c>
      <c r="Q589">
        <v>75</v>
      </c>
      <c r="T589">
        <v>2617</v>
      </c>
      <c r="U589">
        <v>330</v>
      </c>
      <c r="V589">
        <v>151.92500000000001</v>
      </c>
      <c r="W589">
        <v>3.5390313795565098</v>
      </c>
      <c r="X589">
        <v>302</v>
      </c>
      <c r="Y589">
        <v>34</v>
      </c>
    </row>
    <row r="590" spans="1:25" hidden="1" x14ac:dyDescent="0.25">
      <c r="A590" t="str">
        <f t="shared" si="9"/>
        <v>2023_NSW_WaggaWagga_Lupin_DetailedTOSTOS1VarietyBatemanWaterTrtIrrigated</v>
      </c>
      <c r="B590">
        <v>2023021</v>
      </c>
      <c r="C590" t="s">
        <v>76</v>
      </c>
      <c r="D590">
        <v>6</v>
      </c>
      <c r="E590" t="s">
        <v>34</v>
      </c>
      <c r="F590" t="s">
        <v>139</v>
      </c>
      <c r="G590" t="s">
        <v>27</v>
      </c>
      <c r="I590">
        <v>1</v>
      </c>
      <c r="J590" t="s">
        <v>74</v>
      </c>
      <c r="K590" s="1">
        <v>45240</v>
      </c>
      <c r="L590">
        <v>1525</v>
      </c>
      <c r="M590">
        <v>95</v>
      </c>
      <c r="N590">
        <v>0.28000000000000003</v>
      </c>
      <c r="O590">
        <v>2.4E-2</v>
      </c>
      <c r="P590">
        <v>1223</v>
      </c>
      <c r="Q590">
        <v>79</v>
      </c>
      <c r="T590">
        <v>3970</v>
      </c>
      <c r="U590">
        <v>320</v>
      </c>
      <c r="V590">
        <v>146.42644598496699</v>
      </c>
      <c r="W590">
        <v>6.9079127403476601</v>
      </c>
      <c r="X590">
        <v>445</v>
      </c>
      <c r="Y590">
        <v>34</v>
      </c>
    </row>
    <row r="591" spans="1:25" hidden="1" x14ac:dyDescent="0.25">
      <c r="A591" t="str">
        <f t="shared" si="9"/>
        <v>2023_NSW_WaggaWagga_Lupin_DetailedTOSTOS2VarietyBatemanWaterTrtIrrigated</v>
      </c>
      <c r="B591">
        <v>2023021</v>
      </c>
      <c r="C591" t="s">
        <v>76</v>
      </c>
      <c r="D591">
        <v>6</v>
      </c>
      <c r="E591" t="s">
        <v>34</v>
      </c>
      <c r="F591" t="s">
        <v>139</v>
      </c>
      <c r="G591" t="s">
        <v>27</v>
      </c>
      <c r="I591">
        <v>2</v>
      </c>
      <c r="J591" t="s">
        <v>75</v>
      </c>
      <c r="K591" s="1">
        <v>45246</v>
      </c>
      <c r="L591">
        <v>889</v>
      </c>
      <c r="M591">
        <v>95</v>
      </c>
      <c r="N591">
        <v>0.375</v>
      </c>
      <c r="O591">
        <v>2.4E-2</v>
      </c>
      <c r="P591">
        <v>621</v>
      </c>
      <c r="Q591">
        <v>71</v>
      </c>
      <c r="T591">
        <v>2678</v>
      </c>
      <c r="U591">
        <v>320</v>
      </c>
      <c r="V591">
        <v>149.28855401503401</v>
      </c>
      <c r="W591">
        <v>3.5684838535212999</v>
      </c>
      <c r="X591">
        <v>328</v>
      </c>
      <c r="Y591">
        <v>34</v>
      </c>
    </row>
    <row r="592" spans="1:25" hidden="1" x14ac:dyDescent="0.25">
      <c r="A592" t="str">
        <f t="shared" si="9"/>
        <v>2023_NSW_WaggaWagga_Lupin_DetailedTOSTOS1VarietyBatemanWaterTrtRainFed</v>
      </c>
      <c r="B592">
        <v>2023021</v>
      </c>
      <c r="C592" t="s">
        <v>76</v>
      </c>
      <c r="D592">
        <v>6</v>
      </c>
      <c r="E592" t="s">
        <v>34</v>
      </c>
      <c r="F592" t="s">
        <v>139</v>
      </c>
      <c r="G592" t="s">
        <v>30</v>
      </c>
      <c r="I592">
        <v>1</v>
      </c>
      <c r="J592" t="s">
        <v>74</v>
      </c>
      <c r="K592" s="1">
        <v>45237</v>
      </c>
      <c r="L592">
        <v>1120</v>
      </c>
      <c r="M592">
        <v>98</v>
      </c>
      <c r="N592">
        <v>0.32600000000000001</v>
      </c>
      <c r="O592">
        <v>2.4E-2</v>
      </c>
      <c r="P592">
        <v>801</v>
      </c>
      <c r="Q592">
        <v>83</v>
      </c>
      <c r="T592">
        <v>2582</v>
      </c>
      <c r="U592">
        <v>330</v>
      </c>
      <c r="V592">
        <v>171.046054015034</v>
      </c>
      <c r="W592">
        <v>6.9079129574426101</v>
      </c>
      <c r="X592">
        <v>359</v>
      </c>
      <c r="Y592">
        <v>35</v>
      </c>
    </row>
    <row r="593" spans="1:25" hidden="1" x14ac:dyDescent="0.25">
      <c r="A593" t="str">
        <f t="shared" si="9"/>
        <v>2023_NSW_WaggaWagga_Lupin_DetailedTOSTOS2VarietyBatemanWaterTrtRainFed</v>
      </c>
      <c r="B593">
        <v>2023021</v>
      </c>
      <c r="C593" t="s">
        <v>76</v>
      </c>
      <c r="D593">
        <v>6</v>
      </c>
      <c r="E593" t="s">
        <v>34</v>
      </c>
      <c r="F593" t="s">
        <v>139</v>
      </c>
      <c r="G593" t="s">
        <v>30</v>
      </c>
      <c r="I593">
        <v>2</v>
      </c>
      <c r="J593" t="s">
        <v>75</v>
      </c>
      <c r="K593" s="1">
        <v>45237</v>
      </c>
      <c r="L593">
        <v>881</v>
      </c>
      <c r="M593">
        <v>98</v>
      </c>
      <c r="N593">
        <v>0.38600000000000001</v>
      </c>
      <c r="O593">
        <v>2.4E-2</v>
      </c>
      <c r="P593">
        <v>646</v>
      </c>
      <c r="Q593">
        <v>75</v>
      </c>
      <c r="T593">
        <v>2327</v>
      </c>
      <c r="U593">
        <v>330</v>
      </c>
      <c r="V593">
        <v>172.041445984966</v>
      </c>
      <c r="W593">
        <v>3.5684842737762401</v>
      </c>
      <c r="X593">
        <v>338</v>
      </c>
      <c r="Y593">
        <v>35</v>
      </c>
    </row>
    <row r="594" spans="1:25" hidden="1" x14ac:dyDescent="0.25">
      <c r="A594" t="str">
        <f t="shared" si="9"/>
        <v>2023_NSW_WaggaWagga_Lupin_DetailedTOSTOS1VarietyJurienWaterTrtIrrigated</v>
      </c>
      <c r="B594">
        <v>2023021</v>
      </c>
      <c r="C594" t="s">
        <v>76</v>
      </c>
      <c r="D594">
        <v>6</v>
      </c>
      <c r="E594" t="s">
        <v>34</v>
      </c>
      <c r="F594" t="s">
        <v>140</v>
      </c>
      <c r="G594" t="s">
        <v>27</v>
      </c>
      <c r="I594">
        <v>1</v>
      </c>
      <c r="J594" t="s">
        <v>74</v>
      </c>
      <c r="K594" s="1">
        <v>45243</v>
      </c>
      <c r="L594">
        <v>1237</v>
      </c>
      <c r="M594">
        <v>95</v>
      </c>
      <c r="N594">
        <v>0.33500000000000002</v>
      </c>
      <c r="O594">
        <v>2.4E-2</v>
      </c>
      <c r="P594">
        <v>769</v>
      </c>
      <c r="Q594">
        <v>79</v>
      </c>
      <c r="T594">
        <v>3283</v>
      </c>
      <c r="U594">
        <v>310</v>
      </c>
      <c r="V594">
        <v>150.22250000000099</v>
      </c>
      <c r="W594">
        <v>6.8927441212882998</v>
      </c>
      <c r="X594">
        <v>422</v>
      </c>
      <c r="Y594">
        <v>34</v>
      </c>
    </row>
    <row r="595" spans="1:25" hidden="1" x14ac:dyDescent="0.25">
      <c r="A595" t="str">
        <f t="shared" si="9"/>
        <v>2023_NSW_WaggaWagga_Lupin_DetailedTOSTOS2VarietyJurienWaterTrtIrrigated</v>
      </c>
      <c r="B595">
        <v>2023021</v>
      </c>
      <c r="C595" t="s">
        <v>76</v>
      </c>
      <c r="D595">
        <v>6</v>
      </c>
      <c r="E595" t="s">
        <v>34</v>
      </c>
      <c r="F595" t="s">
        <v>140</v>
      </c>
      <c r="G595" t="s">
        <v>27</v>
      </c>
      <c r="I595">
        <v>2</v>
      </c>
      <c r="J595" t="s">
        <v>75</v>
      </c>
      <c r="K595" s="1">
        <v>45246</v>
      </c>
      <c r="L595">
        <v>1005</v>
      </c>
      <c r="M595">
        <v>95</v>
      </c>
      <c r="N595">
        <v>0.378</v>
      </c>
      <c r="O595">
        <v>2.4E-2</v>
      </c>
      <c r="P595">
        <v>746</v>
      </c>
      <c r="Q595">
        <v>70</v>
      </c>
      <c r="T595">
        <v>2845</v>
      </c>
      <c r="U595">
        <v>310</v>
      </c>
      <c r="V595">
        <v>144.465</v>
      </c>
      <c r="W595">
        <v>3.53903095580407</v>
      </c>
      <c r="X595">
        <v>367</v>
      </c>
      <c r="Y595">
        <v>34</v>
      </c>
    </row>
    <row r="596" spans="1:25" hidden="1" x14ac:dyDescent="0.25">
      <c r="A596" t="str">
        <f t="shared" si="9"/>
        <v>2023_NSW_WaggaWagga_Lupin_DetailedTOSTOS1VarietyJurienWaterTrtRainFed</v>
      </c>
      <c r="B596">
        <v>2023021</v>
      </c>
      <c r="C596" t="s">
        <v>76</v>
      </c>
      <c r="D596">
        <v>6</v>
      </c>
      <c r="E596" t="s">
        <v>34</v>
      </c>
      <c r="F596" t="s">
        <v>140</v>
      </c>
      <c r="G596" t="s">
        <v>30</v>
      </c>
      <c r="I596">
        <v>1</v>
      </c>
      <c r="J596" t="s">
        <v>74</v>
      </c>
      <c r="K596" s="1">
        <v>45237</v>
      </c>
      <c r="L596">
        <v>1163</v>
      </c>
      <c r="M596">
        <v>98</v>
      </c>
      <c r="N596">
        <v>0.33200000000000002</v>
      </c>
      <c r="O596">
        <v>2.4E-2</v>
      </c>
      <c r="P596">
        <v>768</v>
      </c>
      <c r="Q596">
        <v>83</v>
      </c>
      <c r="T596">
        <v>2556</v>
      </c>
      <c r="U596">
        <v>330</v>
      </c>
      <c r="V596">
        <v>162.369265069661</v>
      </c>
      <c r="W596">
        <v>7.9552744621664599</v>
      </c>
      <c r="X596">
        <v>373</v>
      </c>
      <c r="Y596">
        <v>34</v>
      </c>
    </row>
    <row r="597" spans="1:25" hidden="1" x14ac:dyDescent="0.25">
      <c r="A597" t="str">
        <f t="shared" si="9"/>
        <v>2023_NSW_WaggaWagga_Lupin_DetailedTOSTOS2VarietyJurienWaterTrtRainFed</v>
      </c>
      <c r="B597">
        <v>2023021</v>
      </c>
      <c r="C597" t="s">
        <v>76</v>
      </c>
      <c r="D597">
        <v>6</v>
      </c>
      <c r="E597" t="s">
        <v>34</v>
      </c>
      <c r="F597" t="s">
        <v>140</v>
      </c>
      <c r="G597" t="s">
        <v>30</v>
      </c>
      <c r="I597">
        <v>2</v>
      </c>
      <c r="J597" t="s">
        <v>75</v>
      </c>
      <c r="K597" s="1">
        <v>45240</v>
      </c>
      <c r="L597">
        <v>977</v>
      </c>
      <c r="M597">
        <v>98</v>
      </c>
      <c r="N597">
        <v>0.38100000000000001</v>
      </c>
      <c r="O597">
        <v>2.4E-2</v>
      </c>
      <c r="P597">
        <v>630</v>
      </c>
      <c r="Q597">
        <v>75</v>
      </c>
      <c r="T597">
        <v>2494</v>
      </c>
      <c r="U597">
        <v>330</v>
      </c>
      <c r="V597">
        <v>154.98750000000001</v>
      </c>
      <c r="W597">
        <v>3.5390313795565098</v>
      </c>
      <c r="X597">
        <v>384</v>
      </c>
      <c r="Y597">
        <v>34</v>
      </c>
    </row>
    <row r="598" spans="1:25" hidden="1" x14ac:dyDescent="0.25">
      <c r="A598" t="str">
        <f t="shared" si="9"/>
        <v>2023_NSW_WaggaWagga_Lupin_DetailedTOSTOS1VarietyWongaWaterTrtIrrigated</v>
      </c>
      <c r="B598">
        <v>2023021</v>
      </c>
      <c r="C598" t="s">
        <v>76</v>
      </c>
      <c r="D598">
        <v>6</v>
      </c>
      <c r="E598" t="s">
        <v>34</v>
      </c>
      <c r="F598" t="s">
        <v>78</v>
      </c>
      <c r="G598" t="s">
        <v>27</v>
      </c>
      <c r="I598">
        <v>1</v>
      </c>
      <c r="J598" t="s">
        <v>74</v>
      </c>
      <c r="K598" s="1">
        <v>45243</v>
      </c>
      <c r="L598">
        <v>1250</v>
      </c>
      <c r="M598">
        <v>95</v>
      </c>
      <c r="N598">
        <v>0.27800000000000002</v>
      </c>
      <c r="O598">
        <v>2.4E-2</v>
      </c>
      <c r="P598">
        <v>1001</v>
      </c>
      <c r="Q598">
        <v>79</v>
      </c>
      <c r="T598">
        <v>4000</v>
      </c>
      <c r="U598">
        <v>320</v>
      </c>
      <c r="V598">
        <v>129.55105401503499</v>
      </c>
      <c r="W598">
        <v>6.9079127403476397</v>
      </c>
      <c r="X598">
        <v>340</v>
      </c>
      <c r="Y598">
        <v>34</v>
      </c>
    </row>
    <row r="599" spans="1:25" hidden="1" x14ac:dyDescent="0.25">
      <c r="A599" t="str">
        <f t="shared" si="9"/>
        <v>2023_NSW_WaggaWagga_Lupin_DetailedTOSTOS2VarietyWongaWaterTrtIrrigated</v>
      </c>
      <c r="B599">
        <v>2023021</v>
      </c>
      <c r="C599" t="s">
        <v>76</v>
      </c>
      <c r="D599">
        <v>6</v>
      </c>
      <c r="E599" t="s">
        <v>34</v>
      </c>
      <c r="F599" t="s">
        <v>78</v>
      </c>
      <c r="G599" t="s">
        <v>27</v>
      </c>
      <c r="I599">
        <v>2</v>
      </c>
      <c r="J599" t="s">
        <v>75</v>
      </c>
      <c r="K599" s="1">
        <v>45247</v>
      </c>
      <c r="L599">
        <v>771</v>
      </c>
      <c r="M599">
        <v>95</v>
      </c>
      <c r="N599">
        <v>0.32100000000000001</v>
      </c>
      <c r="O599">
        <v>2.4E-2</v>
      </c>
      <c r="P599">
        <v>638</v>
      </c>
      <c r="Q599">
        <v>71</v>
      </c>
      <c r="T599">
        <v>2389</v>
      </c>
      <c r="U599">
        <v>320</v>
      </c>
      <c r="V599">
        <v>131.53644598496601</v>
      </c>
      <c r="W599">
        <v>3.5684838535212902</v>
      </c>
      <c r="X599">
        <v>251</v>
      </c>
      <c r="Y599">
        <v>34</v>
      </c>
    </row>
    <row r="600" spans="1:25" hidden="1" x14ac:dyDescent="0.25">
      <c r="A600" t="str">
        <f t="shared" si="9"/>
        <v>2023_NSW_WaggaWagga_Lupin_DetailedTOSTOS1VarietyWongaWaterTrtRainFed</v>
      </c>
      <c r="B600">
        <v>2023021</v>
      </c>
      <c r="C600" t="s">
        <v>76</v>
      </c>
      <c r="D600">
        <v>6</v>
      </c>
      <c r="E600" t="s">
        <v>34</v>
      </c>
      <c r="F600" t="s">
        <v>78</v>
      </c>
      <c r="G600" t="s">
        <v>30</v>
      </c>
      <c r="I600">
        <v>1</v>
      </c>
      <c r="J600" t="s">
        <v>74</v>
      </c>
      <c r="K600" s="1">
        <v>45237</v>
      </c>
      <c r="L600">
        <v>1095</v>
      </c>
      <c r="M600">
        <v>98</v>
      </c>
      <c r="N600">
        <v>0.29599999999999999</v>
      </c>
      <c r="O600">
        <v>2.4E-2</v>
      </c>
      <c r="P600">
        <v>771</v>
      </c>
      <c r="Q600">
        <v>83</v>
      </c>
      <c r="T600">
        <v>2704</v>
      </c>
      <c r="U600">
        <v>330</v>
      </c>
      <c r="V600">
        <v>150.016445984966</v>
      </c>
      <c r="W600">
        <v>6.9079129574426101</v>
      </c>
      <c r="X600">
        <v>333</v>
      </c>
      <c r="Y600">
        <v>35</v>
      </c>
    </row>
    <row r="601" spans="1:25" hidden="1" x14ac:dyDescent="0.25">
      <c r="A601" t="str">
        <f t="shared" si="9"/>
        <v>2023_NSW_WaggaWagga_Lupin_DetailedTOSTOS2VarietyWongaWaterTrtRainFed</v>
      </c>
      <c r="B601">
        <v>2023021</v>
      </c>
      <c r="C601" t="s">
        <v>76</v>
      </c>
      <c r="D601">
        <v>6</v>
      </c>
      <c r="E601" t="s">
        <v>34</v>
      </c>
      <c r="F601" t="s">
        <v>78</v>
      </c>
      <c r="G601" t="s">
        <v>30</v>
      </c>
      <c r="I601">
        <v>2</v>
      </c>
      <c r="J601" t="s">
        <v>75</v>
      </c>
      <c r="K601" s="1">
        <v>45243</v>
      </c>
      <c r="L601">
        <v>844</v>
      </c>
      <c r="M601">
        <v>98</v>
      </c>
      <c r="N601">
        <v>0.39200000000000002</v>
      </c>
      <c r="O601">
        <v>2.4E-2</v>
      </c>
      <c r="P601">
        <v>635</v>
      </c>
      <c r="Q601">
        <v>75</v>
      </c>
      <c r="T601">
        <v>2542</v>
      </c>
      <c r="U601">
        <v>330</v>
      </c>
      <c r="V601">
        <v>136.363554015034</v>
      </c>
      <c r="W601">
        <v>3.5684842737762401</v>
      </c>
      <c r="X601">
        <v>325</v>
      </c>
      <c r="Y601">
        <v>35</v>
      </c>
    </row>
    <row r="602" spans="1:25" hidden="1" x14ac:dyDescent="0.25">
      <c r="A602" t="str">
        <f t="shared" si="9"/>
        <v>2023_Qld_Gatton_Chickpea_DetailedTOSTOS1VarietyCBA_CaptainWaterTrtIrrigated</v>
      </c>
      <c r="B602">
        <v>2023022</v>
      </c>
      <c r="C602" t="s">
        <v>79</v>
      </c>
      <c r="D602">
        <v>2</v>
      </c>
      <c r="E602" t="s">
        <v>25</v>
      </c>
      <c r="F602" t="s">
        <v>26</v>
      </c>
      <c r="G602" t="s">
        <v>27</v>
      </c>
      <c r="I602">
        <v>1</v>
      </c>
      <c r="J602" t="s">
        <v>80</v>
      </c>
      <c r="K602" s="1">
        <v>45121</v>
      </c>
      <c r="L602">
        <v>19.399999999999999</v>
      </c>
      <c r="M602">
        <v>1.3</v>
      </c>
    </row>
    <row r="603" spans="1:25" hidden="1" x14ac:dyDescent="0.25">
      <c r="A603" t="str">
        <f t="shared" si="9"/>
        <v>2023_Qld_Gatton_Chickpea_DetailedTOSTOS2VarietyCBA_CaptainWaterTrtIrrigated</v>
      </c>
      <c r="B603">
        <v>2023022</v>
      </c>
      <c r="C603" t="s">
        <v>79</v>
      </c>
      <c r="D603">
        <v>2</v>
      </c>
      <c r="E603" t="s">
        <v>25</v>
      </c>
      <c r="F603" t="s">
        <v>26</v>
      </c>
      <c r="G603" t="s">
        <v>27</v>
      </c>
      <c r="I603">
        <v>2</v>
      </c>
      <c r="J603" t="s">
        <v>81</v>
      </c>
      <c r="K603" s="1">
        <v>45142</v>
      </c>
      <c r="L603">
        <v>17.899999999999999</v>
      </c>
      <c r="M603">
        <v>1.3</v>
      </c>
    </row>
    <row r="604" spans="1:25" hidden="1" x14ac:dyDescent="0.25">
      <c r="A604" t="str">
        <f t="shared" si="9"/>
        <v>2023_Qld_Gatton_Chickpea_DetailedTOSTOS1VarietyCBA_CaptainWaterTrtRainFed</v>
      </c>
      <c r="B604">
        <v>2023022</v>
      </c>
      <c r="C604" t="s">
        <v>79</v>
      </c>
      <c r="D604">
        <v>2</v>
      </c>
      <c r="E604" t="s">
        <v>25</v>
      </c>
      <c r="F604" t="s">
        <v>26</v>
      </c>
      <c r="G604" t="s">
        <v>30</v>
      </c>
      <c r="I604">
        <v>1</v>
      </c>
      <c r="J604" t="s">
        <v>80</v>
      </c>
      <c r="K604" s="1">
        <v>45121</v>
      </c>
      <c r="L604">
        <v>20.9</v>
      </c>
      <c r="M604">
        <v>1.3</v>
      </c>
    </row>
    <row r="605" spans="1:25" hidden="1" x14ac:dyDescent="0.25">
      <c r="A605" t="str">
        <f t="shared" si="9"/>
        <v>2023_Qld_Gatton_Chickpea_DetailedTOSTOS2VarietyCBA_CaptainWaterTrtRainFed</v>
      </c>
      <c r="B605">
        <v>2023022</v>
      </c>
      <c r="C605" t="s">
        <v>79</v>
      </c>
      <c r="D605">
        <v>2</v>
      </c>
      <c r="E605" t="s">
        <v>25</v>
      </c>
      <c r="F605" t="s">
        <v>26</v>
      </c>
      <c r="G605" t="s">
        <v>30</v>
      </c>
      <c r="I605">
        <v>2</v>
      </c>
      <c r="J605" t="s">
        <v>81</v>
      </c>
      <c r="K605" s="1">
        <v>45142</v>
      </c>
      <c r="L605">
        <v>16.399999999999999</v>
      </c>
      <c r="M605">
        <v>1.3</v>
      </c>
    </row>
    <row r="606" spans="1:25" hidden="1" x14ac:dyDescent="0.25">
      <c r="A606" t="str">
        <f t="shared" si="9"/>
        <v>2023_Qld_Gatton_Chickpea_DetailedTOSTOS1VarietyDrummondWaterTrtIrrigated</v>
      </c>
      <c r="B606">
        <v>2023022</v>
      </c>
      <c r="C606" t="s">
        <v>79</v>
      </c>
      <c r="D606">
        <v>2</v>
      </c>
      <c r="E606" t="s">
        <v>25</v>
      </c>
      <c r="F606" t="s">
        <v>123</v>
      </c>
      <c r="G606" t="s">
        <v>27</v>
      </c>
      <c r="I606">
        <v>1</v>
      </c>
      <c r="J606" t="s">
        <v>80</v>
      </c>
      <c r="K606" s="1">
        <v>45121</v>
      </c>
      <c r="L606">
        <v>14.6</v>
      </c>
      <c r="M606">
        <v>1.3</v>
      </c>
    </row>
    <row r="607" spans="1:25" hidden="1" x14ac:dyDescent="0.25">
      <c r="A607" t="str">
        <f t="shared" si="9"/>
        <v>2023_Qld_Gatton_Chickpea_DetailedTOSTOS2VarietyDrummondWaterTrtIrrigated</v>
      </c>
      <c r="B607">
        <v>2023022</v>
      </c>
      <c r="C607" t="s">
        <v>79</v>
      </c>
      <c r="D607">
        <v>2</v>
      </c>
      <c r="E607" t="s">
        <v>25</v>
      </c>
      <c r="F607" t="s">
        <v>123</v>
      </c>
      <c r="G607" t="s">
        <v>27</v>
      </c>
      <c r="I607">
        <v>2</v>
      </c>
      <c r="J607" t="s">
        <v>81</v>
      </c>
      <c r="K607" s="1">
        <v>45142</v>
      </c>
      <c r="L607">
        <v>13.8</v>
      </c>
      <c r="M607">
        <v>1.3</v>
      </c>
    </row>
    <row r="608" spans="1:25" hidden="1" x14ac:dyDescent="0.25">
      <c r="A608" t="str">
        <f t="shared" si="9"/>
        <v>2023_Qld_Gatton_Chickpea_DetailedTOSTOS1VarietyDrummondWaterTrtRainFed</v>
      </c>
      <c r="B608">
        <v>2023022</v>
      </c>
      <c r="C608" t="s">
        <v>79</v>
      </c>
      <c r="D608">
        <v>2</v>
      </c>
      <c r="E608" t="s">
        <v>25</v>
      </c>
      <c r="F608" t="s">
        <v>123</v>
      </c>
      <c r="G608" t="s">
        <v>30</v>
      </c>
      <c r="I608">
        <v>1</v>
      </c>
      <c r="J608" t="s">
        <v>80</v>
      </c>
      <c r="K608" s="1">
        <v>45121</v>
      </c>
      <c r="L608">
        <v>18.100000000000001</v>
      </c>
      <c r="M608">
        <v>1.3</v>
      </c>
    </row>
    <row r="609" spans="1:13" hidden="1" x14ac:dyDescent="0.25">
      <c r="A609" t="str">
        <f t="shared" si="9"/>
        <v>2023_Qld_Gatton_Chickpea_DetailedTOSTOS2VarietyDrummondWaterTrtRainFed</v>
      </c>
      <c r="B609">
        <v>2023022</v>
      </c>
      <c r="C609" t="s">
        <v>79</v>
      </c>
      <c r="D609">
        <v>2</v>
      </c>
      <c r="E609" t="s">
        <v>25</v>
      </c>
      <c r="F609" t="s">
        <v>123</v>
      </c>
      <c r="G609" t="s">
        <v>30</v>
      </c>
      <c r="I609">
        <v>2</v>
      </c>
      <c r="J609" t="s">
        <v>81</v>
      </c>
      <c r="K609" s="1">
        <v>45142</v>
      </c>
      <c r="L609">
        <v>14</v>
      </c>
      <c r="M609">
        <v>1.3</v>
      </c>
    </row>
    <row r="610" spans="1:13" hidden="1" x14ac:dyDescent="0.25">
      <c r="A610" t="str">
        <f t="shared" si="9"/>
        <v>2023_Qld_Gatton_Chickpea_DetailedTOSTOS1VarietyHatTrickWaterTrtIrrigated</v>
      </c>
      <c r="B610">
        <v>2023022</v>
      </c>
      <c r="C610" t="s">
        <v>79</v>
      </c>
      <c r="D610">
        <v>2</v>
      </c>
      <c r="E610" t="s">
        <v>25</v>
      </c>
      <c r="F610" t="s">
        <v>124</v>
      </c>
      <c r="G610" t="s">
        <v>27</v>
      </c>
      <c r="I610">
        <v>1</v>
      </c>
      <c r="J610" t="s">
        <v>80</v>
      </c>
      <c r="K610" s="1">
        <v>45121</v>
      </c>
      <c r="L610">
        <v>16.100000000000001</v>
      </c>
      <c r="M610">
        <v>1.3</v>
      </c>
    </row>
    <row r="611" spans="1:13" hidden="1" x14ac:dyDescent="0.25">
      <c r="A611" t="str">
        <f t="shared" si="9"/>
        <v>2023_Qld_Gatton_Chickpea_DetailedTOSTOS2VarietyHatTrickWaterTrtIrrigated</v>
      </c>
      <c r="B611">
        <v>2023022</v>
      </c>
      <c r="C611" t="s">
        <v>79</v>
      </c>
      <c r="D611">
        <v>2</v>
      </c>
      <c r="E611" t="s">
        <v>25</v>
      </c>
      <c r="F611" t="s">
        <v>124</v>
      </c>
      <c r="G611" t="s">
        <v>27</v>
      </c>
      <c r="I611">
        <v>2</v>
      </c>
      <c r="J611" t="s">
        <v>81</v>
      </c>
      <c r="K611" s="1">
        <v>45142</v>
      </c>
      <c r="L611">
        <v>12.6</v>
      </c>
      <c r="M611">
        <v>1.3</v>
      </c>
    </row>
    <row r="612" spans="1:13" hidden="1" x14ac:dyDescent="0.25">
      <c r="A612" t="str">
        <f t="shared" si="9"/>
        <v>2023_Qld_Gatton_Chickpea_DetailedTOSTOS1VarietyHatTrickWaterTrtRainFed</v>
      </c>
      <c r="B612">
        <v>2023022</v>
      </c>
      <c r="C612" t="s">
        <v>79</v>
      </c>
      <c r="D612">
        <v>2</v>
      </c>
      <c r="E612" t="s">
        <v>25</v>
      </c>
      <c r="F612" t="s">
        <v>124</v>
      </c>
      <c r="G612" t="s">
        <v>30</v>
      </c>
      <c r="I612">
        <v>1</v>
      </c>
      <c r="J612" t="s">
        <v>80</v>
      </c>
      <c r="K612" s="1">
        <v>45121</v>
      </c>
      <c r="L612">
        <v>16.3</v>
      </c>
      <c r="M612">
        <v>1.3</v>
      </c>
    </row>
    <row r="613" spans="1:13" hidden="1" x14ac:dyDescent="0.25">
      <c r="A613" t="str">
        <f t="shared" si="9"/>
        <v>2023_Qld_Gatton_Chickpea_DetailedTOSTOS2VarietyHatTrickWaterTrtRainFed</v>
      </c>
      <c r="B613">
        <v>2023022</v>
      </c>
      <c r="C613" t="s">
        <v>79</v>
      </c>
      <c r="D613">
        <v>2</v>
      </c>
      <c r="E613" t="s">
        <v>25</v>
      </c>
      <c r="F613" t="s">
        <v>124</v>
      </c>
      <c r="G613" t="s">
        <v>30</v>
      </c>
      <c r="I613">
        <v>2</v>
      </c>
      <c r="J613" t="s">
        <v>81</v>
      </c>
      <c r="K613" s="1">
        <v>45142</v>
      </c>
      <c r="L613">
        <v>13.9</v>
      </c>
      <c r="M613">
        <v>1.3</v>
      </c>
    </row>
    <row r="614" spans="1:13" hidden="1" x14ac:dyDescent="0.25">
      <c r="A614" t="str">
        <f t="shared" si="9"/>
        <v>2023_Qld_Gatton_Chickpea_DetailedTOSTOS1VarietyStrikerWaterTrtIrrigated</v>
      </c>
      <c r="B614">
        <v>2023022</v>
      </c>
      <c r="C614" t="s">
        <v>79</v>
      </c>
      <c r="D614">
        <v>2</v>
      </c>
      <c r="E614" t="s">
        <v>25</v>
      </c>
      <c r="F614" t="s">
        <v>125</v>
      </c>
      <c r="G614" t="s">
        <v>27</v>
      </c>
      <c r="I614">
        <v>1</v>
      </c>
      <c r="J614" t="s">
        <v>80</v>
      </c>
      <c r="K614" s="1">
        <v>45121</v>
      </c>
      <c r="L614">
        <v>22.3</v>
      </c>
      <c r="M614">
        <v>1.3</v>
      </c>
    </row>
    <row r="615" spans="1:13" hidden="1" x14ac:dyDescent="0.25">
      <c r="A615" t="str">
        <f t="shared" si="9"/>
        <v>2023_Qld_Gatton_Chickpea_DetailedTOSTOS2VarietyStrikerWaterTrtIrrigated</v>
      </c>
      <c r="B615">
        <v>2023022</v>
      </c>
      <c r="C615" t="s">
        <v>79</v>
      </c>
      <c r="D615">
        <v>2</v>
      </c>
      <c r="E615" t="s">
        <v>25</v>
      </c>
      <c r="F615" t="s">
        <v>125</v>
      </c>
      <c r="G615" t="s">
        <v>27</v>
      </c>
      <c r="I615">
        <v>2</v>
      </c>
      <c r="J615" t="s">
        <v>81</v>
      </c>
      <c r="K615" s="1">
        <v>45142</v>
      </c>
      <c r="L615">
        <v>20.2</v>
      </c>
      <c r="M615">
        <v>1.3</v>
      </c>
    </row>
    <row r="616" spans="1:13" hidden="1" x14ac:dyDescent="0.25">
      <c r="A616" t="str">
        <f t="shared" si="9"/>
        <v>2023_Qld_Gatton_Chickpea_DetailedTOSTOS1VarietyStrikerWaterTrtRainFed</v>
      </c>
      <c r="B616">
        <v>2023022</v>
      </c>
      <c r="C616" t="s">
        <v>79</v>
      </c>
      <c r="D616">
        <v>2</v>
      </c>
      <c r="E616" t="s">
        <v>25</v>
      </c>
      <c r="F616" t="s">
        <v>125</v>
      </c>
      <c r="G616" t="s">
        <v>30</v>
      </c>
      <c r="I616">
        <v>1</v>
      </c>
      <c r="J616" t="s">
        <v>80</v>
      </c>
      <c r="K616" s="1">
        <v>45121</v>
      </c>
      <c r="L616">
        <v>23.5</v>
      </c>
      <c r="M616">
        <v>1.3</v>
      </c>
    </row>
    <row r="617" spans="1:13" hidden="1" x14ac:dyDescent="0.25">
      <c r="A617" t="str">
        <f t="shared" si="9"/>
        <v>2023_Qld_Gatton_Chickpea_DetailedTOSTOS2VarietyStrikerWaterTrtRainFed</v>
      </c>
      <c r="B617">
        <v>2023022</v>
      </c>
      <c r="C617" t="s">
        <v>79</v>
      </c>
      <c r="D617">
        <v>2</v>
      </c>
      <c r="E617" t="s">
        <v>25</v>
      </c>
      <c r="F617" t="s">
        <v>125</v>
      </c>
      <c r="G617" t="s">
        <v>30</v>
      </c>
      <c r="I617">
        <v>2</v>
      </c>
      <c r="J617" t="s">
        <v>81</v>
      </c>
      <c r="K617" s="1">
        <v>45142</v>
      </c>
      <c r="L617">
        <v>20.2</v>
      </c>
      <c r="M617">
        <v>1.3</v>
      </c>
    </row>
    <row r="618" spans="1:13" hidden="1" x14ac:dyDescent="0.25">
      <c r="A618" t="str">
        <f t="shared" si="9"/>
        <v>2023_Qld_Gatton_Chickpea_DetailedTOSTOS1VarietyCBA_CaptainWaterTrtIrrigated</v>
      </c>
      <c r="B618">
        <v>2023022</v>
      </c>
      <c r="C618" t="s">
        <v>79</v>
      </c>
      <c r="D618">
        <v>3</v>
      </c>
      <c r="E618" t="s">
        <v>31</v>
      </c>
      <c r="F618" t="s">
        <v>26</v>
      </c>
      <c r="G618" t="s">
        <v>27</v>
      </c>
      <c r="I618">
        <v>1</v>
      </c>
      <c r="J618" t="s">
        <v>80</v>
      </c>
      <c r="K618" s="1">
        <v>45142</v>
      </c>
      <c r="L618">
        <v>123.4</v>
      </c>
      <c r="M618">
        <v>14</v>
      </c>
    </row>
    <row r="619" spans="1:13" hidden="1" x14ac:dyDescent="0.25">
      <c r="A619" t="str">
        <f t="shared" si="9"/>
        <v>2023_Qld_Gatton_Chickpea_DetailedTOSTOS2VarietyCBA_CaptainWaterTrtIrrigated</v>
      </c>
      <c r="B619">
        <v>2023022</v>
      </c>
      <c r="C619" t="s">
        <v>79</v>
      </c>
      <c r="D619">
        <v>3</v>
      </c>
      <c r="E619" t="s">
        <v>31</v>
      </c>
      <c r="F619" t="s">
        <v>26</v>
      </c>
      <c r="G619" t="s">
        <v>27</v>
      </c>
      <c r="I619">
        <v>2</v>
      </c>
      <c r="J619" t="s">
        <v>81</v>
      </c>
      <c r="K619" s="1">
        <v>45167</v>
      </c>
      <c r="L619">
        <v>165.4</v>
      </c>
      <c r="M619">
        <v>14</v>
      </c>
    </row>
    <row r="620" spans="1:13" hidden="1" x14ac:dyDescent="0.25">
      <c r="A620" t="str">
        <f t="shared" si="9"/>
        <v>2023_Qld_Gatton_Chickpea_DetailedTOSTOS1VarietyCBA_CaptainWaterTrtRainFed</v>
      </c>
      <c r="B620">
        <v>2023022</v>
      </c>
      <c r="C620" t="s">
        <v>79</v>
      </c>
      <c r="D620">
        <v>3</v>
      </c>
      <c r="E620" t="s">
        <v>31</v>
      </c>
      <c r="F620" t="s">
        <v>26</v>
      </c>
      <c r="G620" t="s">
        <v>30</v>
      </c>
      <c r="I620">
        <v>1</v>
      </c>
      <c r="J620" t="s">
        <v>80</v>
      </c>
      <c r="K620" s="1">
        <v>45142</v>
      </c>
      <c r="L620">
        <v>120.7</v>
      </c>
      <c r="M620">
        <v>14</v>
      </c>
    </row>
    <row r="621" spans="1:13" hidden="1" x14ac:dyDescent="0.25">
      <c r="A621" t="str">
        <f t="shared" si="9"/>
        <v>2023_Qld_Gatton_Chickpea_DetailedTOSTOS2VarietyCBA_CaptainWaterTrtRainFed</v>
      </c>
      <c r="B621">
        <v>2023022</v>
      </c>
      <c r="C621" t="s">
        <v>79</v>
      </c>
      <c r="D621">
        <v>3</v>
      </c>
      <c r="E621" t="s">
        <v>31</v>
      </c>
      <c r="F621" t="s">
        <v>26</v>
      </c>
      <c r="G621" t="s">
        <v>30</v>
      </c>
      <c r="I621">
        <v>2</v>
      </c>
      <c r="J621" t="s">
        <v>81</v>
      </c>
      <c r="K621" s="1">
        <v>45167</v>
      </c>
      <c r="L621">
        <v>145.30000000000001</v>
      </c>
      <c r="M621">
        <v>14</v>
      </c>
    </row>
    <row r="622" spans="1:13" hidden="1" x14ac:dyDescent="0.25">
      <c r="A622" t="str">
        <f t="shared" si="9"/>
        <v>2023_Qld_Gatton_Chickpea_DetailedTOSTOS1VarietyDrummondWaterTrtIrrigated</v>
      </c>
      <c r="B622">
        <v>2023022</v>
      </c>
      <c r="C622" t="s">
        <v>79</v>
      </c>
      <c r="D622">
        <v>3</v>
      </c>
      <c r="E622" t="s">
        <v>31</v>
      </c>
      <c r="F622" t="s">
        <v>123</v>
      </c>
      <c r="G622" t="s">
        <v>27</v>
      </c>
      <c r="I622">
        <v>1</v>
      </c>
      <c r="J622" t="s">
        <v>80</v>
      </c>
      <c r="K622" s="1">
        <v>45142</v>
      </c>
      <c r="L622">
        <v>105.8</v>
      </c>
      <c r="M622">
        <v>14</v>
      </c>
    </row>
    <row r="623" spans="1:13" hidden="1" x14ac:dyDescent="0.25">
      <c r="A623" t="str">
        <f t="shared" si="9"/>
        <v>2023_Qld_Gatton_Chickpea_DetailedTOSTOS2VarietyDrummondWaterTrtIrrigated</v>
      </c>
      <c r="B623">
        <v>2023022</v>
      </c>
      <c r="C623" t="s">
        <v>79</v>
      </c>
      <c r="D623">
        <v>3</v>
      </c>
      <c r="E623" t="s">
        <v>31</v>
      </c>
      <c r="F623" t="s">
        <v>123</v>
      </c>
      <c r="G623" t="s">
        <v>27</v>
      </c>
      <c r="I623">
        <v>2</v>
      </c>
      <c r="J623" t="s">
        <v>81</v>
      </c>
      <c r="K623" s="1">
        <v>45167</v>
      </c>
      <c r="L623">
        <v>153.80000000000001</v>
      </c>
      <c r="M623">
        <v>14</v>
      </c>
    </row>
    <row r="624" spans="1:13" hidden="1" x14ac:dyDescent="0.25">
      <c r="A624" t="str">
        <f t="shared" si="9"/>
        <v>2023_Qld_Gatton_Chickpea_DetailedTOSTOS1VarietyDrummondWaterTrtRainFed</v>
      </c>
      <c r="B624">
        <v>2023022</v>
      </c>
      <c r="C624" t="s">
        <v>79</v>
      </c>
      <c r="D624">
        <v>3</v>
      </c>
      <c r="E624" t="s">
        <v>31</v>
      </c>
      <c r="F624" t="s">
        <v>123</v>
      </c>
      <c r="G624" t="s">
        <v>30</v>
      </c>
      <c r="I624">
        <v>1</v>
      </c>
      <c r="J624" t="s">
        <v>80</v>
      </c>
      <c r="K624" s="1">
        <v>45142</v>
      </c>
      <c r="L624">
        <v>111.6</v>
      </c>
      <c r="M624">
        <v>14</v>
      </c>
    </row>
    <row r="625" spans="1:13" hidden="1" x14ac:dyDescent="0.25">
      <c r="A625" t="str">
        <f t="shared" si="9"/>
        <v>2023_Qld_Gatton_Chickpea_DetailedTOSTOS2VarietyDrummondWaterTrtRainFed</v>
      </c>
      <c r="B625">
        <v>2023022</v>
      </c>
      <c r="C625" t="s">
        <v>79</v>
      </c>
      <c r="D625">
        <v>3</v>
      </c>
      <c r="E625" t="s">
        <v>31</v>
      </c>
      <c r="F625" t="s">
        <v>123</v>
      </c>
      <c r="G625" t="s">
        <v>30</v>
      </c>
      <c r="I625">
        <v>2</v>
      </c>
      <c r="J625" t="s">
        <v>81</v>
      </c>
      <c r="K625" s="1">
        <v>45167</v>
      </c>
      <c r="L625">
        <v>125</v>
      </c>
      <c r="M625">
        <v>14</v>
      </c>
    </row>
    <row r="626" spans="1:13" hidden="1" x14ac:dyDescent="0.25">
      <c r="A626" t="str">
        <f t="shared" si="9"/>
        <v>2023_Qld_Gatton_Chickpea_DetailedTOSTOS1VarietyHatTrickWaterTrtIrrigated</v>
      </c>
      <c r="B626">
        <v>2023022</v>
      </c>
      <c r="C626" t="s">
        <v>79</v>
      </c>
      <c r="D626">
        <v>3</v>
      </c>
      <c r="E626" t="s">
        <v>31</v>
      </c>
      <c r="F626" t="s">
        <v>124</v>
      </c>
      <c r="G626" t="s">
        <v>27</v>
      </c>
      <c r="I626">
        <v>1</v>
      </c>
      <c r="J626" t="s">
        <v>80</v>
      </c>
      <c r="K626" s="1">
        <v>45142</v>
      </c>
      <c r="L626">
        <v>103</v>
      </c>
      <c r="M626">
        <v>14</v>
      </c>
    </row>
    <row r="627" spans="1:13" hidden="1" x14ac:dyDescent="0.25">
      <c r="A627" t="str">
        <f t="shared" si="9"/>
        <v>2023_Qld_Gatton_Chickpea_DetailedTOSTOS2VarietyHatTrickWaterTrtIrrigated</v>
      </c>
      <c r="B627">
        <v>2023022</v>
      </c>
      <c r="C627" t="s">
        <v>79</v>
      </c>
      <c r="D627">
        <v>3</v>
      </c>
      <c r="E627" t="s">
        <v>31</v>
      </c>
      <c r="F627" t="s">
        <v>124</v>
      </c>
      <c r="G627" t="s">
        <v>27</v>
      </c>
      <c r="I627">
        <v>2</v>
      </c>
      <c r="J627" t="s">
        <v>81</v>
      </c>
      <c r="K627" s="1">
        <v>45167</v>
      </c>
      <c r="L627">
        <v>130.4</v>
      </c>
      <c r="M627">
        <v>14</v>
      </c>
    </row>
    <row r="628" spans="1:13" hidden="1" x14ac:dyDescent="0.25">
      <c r="A628" t="str">
        <f t="shared" si="9"/>
        <v>2023_Qld_Gatton_Chickpea_DetailedTOSTOS1VarietyHatTrickWaterTrtRainFed</v>
      </c>
      <c r="B628">
        <v>2023022</v>
      </c>
      <c r="C628" t="s">
        <v>79</v>
      </c>
      <c r="D628">
        <v>3</v>
      </c>
      <c r="E628" t="s">
        <v>31</v>
      </c>
      <c r="F628" t="s">
        <v>124</v>
      </c>
      <c r="G628" t="s">
        <v>30</v>
      </c>
      <c r="I628">
        <v>1</v>
      </c>
      <c r="J628" t="s">
        <v>80</v>
      </c>
      <c r="K628" s="1">
        <v>45142</v>
      </c>
      <c r="L628">
        <v>107.1</v>
      </c>
      <c r="M628">
        <v>14</v>
      </c>
    </row>
    <row r="629" spans="1:13" hidden="1" x14ac:dyDescent="0.25">
      <c r="A629" t="str">
        <f t="shared" si="9"/>
        <v>2023_Qld_Gatton_Chickpea_DetailedTOSTOS2VarietyHatTrickWaterTrtRainFed</v>
      </c>
      <c r="B629">
        <v>2023022</v>
      </c>
      <c r="C629" t="s">
        <v>79</v>
      </c>
      <c r="D629">
        <v>3</v>
      </c>
      <c r="E629" t="s">
        <v>31</v>
      </c>
      <c r="F629" t="s">
        <v>124</v>
      </c>
      <c r="G629" t="s">
        <v>30</v>
      </c>
      <c r="I629">
        <v>2</v>
      </c>
      <c r="J629" t="s">
        <v>81</v>
      </c>
      <c r="K629" s="1">
        <v>45167</v>
      </c>
      <c r="L629">
        <v>126.1</v>
      </c>
      <c r="M629">
        <v>14</v>
      </c>
    </row>
    <row r="630" spans="1:13" hidden="1" x14ac:dyDescent="0.25">
      <c r="A630" t="str">
        <f t="shared" si="9"/>
        <v>2023_Qld_Gatton_Chickpea_DetailedTOSTOS1VarietyStrikerWaterTrtIrrigated</v>
      </c>
      <c r="B630">
        <v>2023022</v>
      </c>
      <c r="C630" t="s">
        <v>79</v>
      </c>
      <c r="D630">
        <v>3</v>
      </c>
      <c r="E630" t="s">
        <v>31</v>
      </c>
      <c r="F630" t="s">
        <v>125</v>
      </c>
      <c r="G630" t="s">
        <v>27</v>
      </c>
      <c r="I630">
        <v>1</v>
      </c>
      <c r="J630" t="s">
        <v>80</v>
      </c>
      <c r="K630" s="1">
        <v>45142</v>
      </c>
      <c r="L630">
        <v>143.5</v>
      </c>
      <c r="M630">
        <v>14</v>
      </c>
    </row>
    <row r="631" spans="1:13" hidden="1" x14ac:dyDescent="0.25">
      <c r="A631" t="str">
        <f t="shared" si="9"/>
        <v>2023_Qld_Gatton_Chickpea_DetailedTOSTOS2VarietyStrikerWaterTrtIrrigated</v>
      </c>
      <c r="B631">
        <v>2023022</v>
      </c>
      <c r="C631" t="s">
        <v>79</v>
      </c>
      <c r="D631">
        <v>3</v>
      </c>
      <c r="E631" t="s">
        <v>31</v>
      </c>
      <c r="F631" t="s">
        <v>125</v>
      </c>
      <c r="G631" t="s">
        <v>27</v>
      </c>
      <c r="I631">
        <v>2</v>
      </c>
      <c r="J631" t="s">
        <v>81</v>
      </c>
      <c r="K631" s="1">
        <v>45167</v>
      </c>
      <c r="L631">
        <v>176.6</v>
      </c>
      <c r="M631">
        <v>14</v>
      </c>
    </row>
    <row r="632" spans="1:13" hidden="1" x14ac:dyDescent="0.25">
      <c r="A632" t="str">
        <f t="shared" si="9"/>
        <v>2023_Qld_Gatton_Chickpea_DetailedTOSTOS1VarietyStrikerWaterTrtRainFed</v>
      </c>
      <c r="B632">
        <v>2023022</v>
      </c>
      <c r="C632" t="s">
        <v>79</v>
      </c>
      <c r="D632">
        <v>3</v>
      </c>
      <c r="E632" t="s">
        <v>31</v>
      </c>
      <c r="F632" t="s">
        <v>125</v>
      </c>
      <c r="G632" t="s">
        <v>30</v>
      </c>
      <c r="I632">
        <v>1</v>
      </c>
      <c r="J632" t="s">
        <v>80</v>
      </c>
      <c r="K632" s="1">
        <v>45142</v>
      </c>
      <c r="L632">
        <v>144.4</v>
      </c>
      <c r="M632">
        <v>14</v>
      </c>
    </row>
    <row r="633" spans="1:13" hidden="1" x14ac:dyDescent="0.25">
      <c r="A633" t="str">
        <f t="shared" si="9"/>
        <v>2023_Qld_Gatton_Chickpea_DetailedTOSTOS2VarietyStrikerWaterTrtRainFed</v>
      </c>
      <c r="B633">
        <v>2023022</v>
      </c>
      <c r="C633" t="s">
        <v>79</v>
      </c>
      <c r="D633">
        <v>3</v>
      </c>
      <c r="E633" t="s">
        <v>31</v>
      </c>
      <c r="F633" t="s">
        <v>125</v>
      </c>
      <c r="G633" t="s">
        <v>30</v>
      </c>
      <c r="I633">
        <v>2</v>
      </c>
      <c r="J633" t="s">
        <v>81</v>
      </c>
      <c r="K633" s="1">
        <v>45167</v>
      </c>
      <c r="L633">
        <v>150.9</v>
      </c>
      <c r="M633">
        <v>14</v>
      </c>
    </row>
    <row r="634" spans="1:13" hidden="1" x14ac:dyDescent="0.25">
      <c r="A634" t="str">
        <f t="shared" si="9"/>
        <v>2023_Qld_Gatton_Chickpea_DetailedTOSTOS1VarietyCBA_CaptainWaterTrtIrrigated</v>
      </c>
      <c r="B634">
        <v>2023022</v>
      </c>
      <c r="C634" t="s">
        <v>79</v>
      </c>
      <c r="D634">
        <v>4</v>
      </c>
      <c r="E634" t="s">
        <v>32</v>
      </c>
      <c r="F634" t="s">
        <v>26</v>
      </c>
      <c r="G634" t="s">
        <v>27</v>
      </c>
      <c r="I634">
        <v>1</v>
      </c>
      <c r="J634" t="s">
        <v>80</v>
      </c>
      <c r="K634" s="1">
        <v>45160</v>
      </c>
      <c r="L634">
        <v>352.8</v>
      </c>
      <c r="M634">
        <v>26</v>
      </c>
    </row>
    <row r="635" spans="1:13" hidden="1" x14ac:dyDescent="0.25">
      <c r="A635" t="str">
        <f t="shared" si="9"/>
        <v>2023_Qld_Gatton_Chickpea_DetailedTOSTOS2VarietyCBA_CaptainWaterTrtIrrigated</v>
      </c>
      <c r="B635">
        <v>2023022</v>
      </c>
      <c r="C635" t="s">
        <v>79</v>
      </c>
      <c r="D635">
        <v>4</v>
      </c>
      <c r="E635" t="s">
        <v>32</v>
      </c>
      <c r="F635" t="s">
        <v>26</v>
      </c>
      <c r="G635" t="s">
        <v>27</v>
      </c>
      <c r="I635">
        <v>2</v>
      </c>
      <c r="J635" t="s">
        <v>81</v>
      </c>
      <c r="K635" s="1">
        <v>45180</v>
      </c>
      <c r="L635">
        <v>339</v>
      </c>
      <c r="M635">
        <v>26</v>
      </c>
    </row>
    <row r="636" spans="1:13" hidden="1" x14ac:dyDescent="0.25">
      <c r="A636" t="str">
        <f t="shared" si="9"/>
        <v>2023_Qld_Gatton_Chickpea_DetailedTOSTOS1VarietyCBA_CaptainWaterTrtRainFed</v>
      </c>
      <c r="B636">
        <v>2023022</v>
      </c>
      <c r="C636" t="s">
        <v>79</v>
      </c>
      <c r="D636">
        <v>4</v>
      </c>
      <c r="E636" t="s">
        <v>32</v>
      </c>
      <c r="F636" t="s">
        <v>26</v>
      </c>
      <c r="G636" t="s">
        <v>30</v>
      </c>
      <c r="I636">
        <v>1</v>
      </c>
      <c r="J636" t="s">
        <v>80</v>
      </c>
      <c r="K636" s="1">
        <v>45153</v>
      </c>
      <c r="L636">
        <v>242.1</v>
      </c>
      <c r="M636">
        <v>26</v>
      </c>
    </row>
    <row r="637" spans="1:13" hidden="1" x14ac:dyDescent="0.25">
      <c r="A637" t="str">
        <f t="shared" si="9"/>
        <v>2023_Qld_Gatton_Chickpea_DetailedTOSTOS2VarietyCBA_CaptainWaterTrtRainFed</v>
      </c>
      <c r="B637">
        <v>2023022</v>
      </c>
      <c r="C637" t="s">
        <v>79</v>
      </c>
      <c r="D637">
        <v>4</v>
      </c>
      <c r="E637" t="s">
        <v>32</v>
      </c>
      <c r="F637" t="s">
        <v>26</v>
      </c>
      <c r="G637" t="s">
        <v>30</v>
      </c>
      <c r="I637">
        <v>2</v>
      </c>
      <c r="J637" t="s">
        <v>81</v>
      </c>
      <c r="K637" s="1">
        <v>45174</v>
      </c>
      <c r="L637">
        <v>223.1</v>
      </c>
      <c r="M637">
        <v>26</v>
      </c>
    </row>
    <row r="638" spans="1:13" hidden="1" x14ac:dyDescent="0.25">
      <c r="A638" t="str">
        <f t="shared" si="9"/>
        <v>2023_Qld_Gatton_Chickpea_DetailedTOSTOS1VarietyDrummondWaterTrtIrrigated</v>
      </c>
      <c r="B638">
        <v>2023022</v>
      </c>
      <c r="C638" t="s">
        <v>79</v>
      </c>
      <c r="D638">
        <v>4</v>
      </c>
      <c r="E638" t="s">
        <v>32</v>
      </c>
      <c r="F638" t="s">
        <v>123</v>
      </c>
      <c r="G638" t="s">
        <v>27</v>
      </c>
      <c r="I638">
        <v>1</v>
      </c>
      <c r="J638" t="s">
        <v>80</v>
      </c>
      <c r="K638" s="1">
        <v>45160</v>
      </c>
      <c r="L638">
        <v>363</v>
      </c>
      <c r="M638">
        <v>26</v>
      </c>
    </row>
    <row r="639" spans="1:13" hidden="1" x14ac:dyDescent="0.25">
      <c r="A639" t="str">
        <f t="shared" si="9"/>
        <v>2023_Qld_Gatton_Chickpea_DetailedTOSTOS2VarietyDrummondWaterTrtIrrigated</v>
      </c>
      <c r="B639">
        <v>2023022</v>
      </c>
      <c r="C639" t="s">
        <v>79</v>
      </c>
      <c r="D639">
        <v>4</v>
      </c>
      <c r="E639" t="s">
        <v>32</v>
      </c>
      <c r="F639" t="s">
        <v>123</v>
      </c>
      <c r="G639" t="s">
        <v>27</v>
      </c>
      <c r="I639">
        <v>2</v>
      </c>
      <c r="J639" t="s">
        <v>81</v>
      </c>
      <c r="K639" s="1">
        <v>45180</v>
      </c>
      <c r="L639">
        <v>315</v>
      </c>
      <c r="M639">
        <v>26</v>
      </c>
    </row>
    <row r="640" spans="1:13" hidden="1" x14ac:dyDescent="0.25">
      <c r="A640" t="str">
        <f t="shared" si="9"/>
        <v>2023_Qld_Gatton_Chickpea_DetailedTOSTOS1VarietyDrummondWaterTrtRainFed</v>
      </c>
      <c r="B640">
        <v>2023022</v>
      </c>
      <c r="C640" t="s">
        <v>79</v>
      </c>
      <c r="D640">
        <v>4</v>
      </c>
      <c r="E640" t="s">
        <v>32</v>
      </c>
      <c r="F640" t="s">
        <v>123</v>
      </c>
      <c r="G640" t="s">
        <v>30</v>
      </c>
      <c r="I640">
        <v>1</v>
      </c>
      <c r="J640" t="s">
        <v>80</v>
      </c>
      <c r="K640" s="1">
        <v>45153</v>
      </c>
      <c r="L640">
        <v>230.1</v>
      </c>
      <c r="M640">
        <v>26</v>
      </c>
    </row>
    <row r="641" spans="1:13" hidden="1" x14ac:dyDescent="0.25">
      <c r="A641" t="str">
        <f t="shared" si="9"/>
        <v>2023_Qld_Gatton_Chickpea_DetailedTOSTOS2VarietyDrummondWaterTrtRainFed</v>
      </c>
      <c r="B641">
        <v>2023022</v>
      </c>
      <c r="C641" t="s">
        <v>79</v>
      </c>
      <c r="D641">
        <v>4</v>
      </c>
      <c r="E641" t="s">
        <v>32</v>
      </c>
      <c r="F641" t="s">
        <v>123</v>
      </c>
      <c r="G641" t="s">
        <v>30</v>
      </c>
      <c r="I641">
        <v>2</v>
      </c>
      <c r="J641" t="s">
        <v>81</v>
      </c>
      <c r="K641" s="1">
        <v>45174</v>
      </c>
      <c r="L641">
        <v>223.9</v>
      </c>
      <c r="M641">
        <v>26</v>
      </c>
    </row>
    <row r="642" spans="1:13" hidden="1" x14ac:dyDescent="0.25">
      <c r="A642" t="str">
        <f t="shared" si="9"/>
        <v>2023_Qld_Gatton_Chickpea_DetailedTOSTOS1VarietyHatTrickWaterTrtIrrigated</v>
      </c>
      <c r="B642">
        <v>2023022</v>
      </c>
      <c r="C642" t="s">
        <v>79</v>
      </c>
      <c r="D642">
        <v>4</v>
      </c>
      <c r="E642" t="s">
        <v>32</v>
      </c>
      <c r="F642" t="s">
        <v>124</v>
      </c>
      <c r="G642" t="s">
        <v>27</v>
      </c>
      <c r="I642">
        <v>1</v>
      </c>
      <c r="J642" t="s">
        <v>80</v>
      </c>
      <c r="K642" s="1">
        <v>45160</v>
      </c>
      <c r="L642">
        <v>368.3</v>
      </c>
      <c r="M642">
        <v>26</v>
      </c>
    </row>
    <row r="643" spans="1:13" hidden="1" x14ac:dyDescent="0.25">
      <c r="A643" t="str">
        <f t="shared" ref="A643:A706" si="10">C643&amp;"TOSTOS"&amp;I643&amp;"Variety"&amp;F643&amp;"WaterTrt"&amp;G643&amp;IF(H643="","","Agronomy"&amp;H643)</f>
        <v>2023_Qld_Gatton_Chickpea_DetailedTOSTOS2VarietyHatTrickWaterTrtIrrigated</v>
      </c>
      <c r="B643">
        <v>2023022</v>
      </c>
      <c r="C643" t="s">
        <v>79</v>
      </c>
      <c r="D643">
        <v>4</v>
      </c>
      <c r="E643" t="s">
        <v>32</v>
      </c>
      <c r="F643" t="s">
        <v>124</v>
      </c>
      <c r="G643" t="s">
        <v>27</v>
      </c>
      <c r="I643">
        <v>2</v>
      </c>
      <c r="J643" t="s">
        <v>81</v>
      </c>
      <c r="K643" s="1">
        <v>45180</v>
      </c>
      <c r="L643">
        <v>285.7</v>
      </c>
      <c r="M643">
        <v>26</v>
      </c>
    </row>
    <row r="644" spans="1:13" hidden="1" x14ac:dyDescent="0.25">
      <c r="A644" t="str">
        <f t="shared" si="10"/>
        <v>2023_Qld_Gatton_Chickpea_DetailedTOSTOS1VarietyHatTrickWaterTrtRainFed</v>
      </c>
      <c r="B644">
        <v>2023022</v>
      </c>
      <c r="C644" t="s">
        <v>79</v>
      </c>
      <c r="D644">
        <v>4</v>
      </c>
      <c r="E644" t="s">
        <v>32</v>
      </c>
      <c r="F644" t="s">
        <v>124</v>
      </c>
      <c r="G644" t="s">
        <v>30</v>
      </c>
      <c r="I644">
        <v>1</v>
      </c>
      <c r="J644" t="s">
        <v>80</v>
      </c>
      <c r="K644" s="1">
        <v>45153</v>
      </c>
      <c r="L644">
        <v>256.7</v>
      </c>
      <c r="M644">
        <v>26</v>
      </c>
    </row>
    <row r="645" spans="1:13" hidden="1" x14ac:dyDescent="0.25">
      <c r="A645" t="str">
        <f t="shared" si="10"/>
        <v>2023_Qld_Gatton_Chickpea_DetailedTOSTOS2VarietyHatTrickWaterTrtRainFed</v>
      </c>
      <c r="B645">
        <v>2023022</v>
      </c>
      <c r="C645" t="s">
        <v>79</v>
      </c>
      <c r="D645">
        <v>4</v>
      </c>
      <c r="E645" t="s">
        <v>32</v>
      </c>
      <c r="F645" t="s">
        <v>124</v>
      </c>
      <c r="G645" t="s">
        <v>30</v>
      </c>
      <c r="I645">
        <v>2</v>
      </c>
      <c r="J645" t="s">
        <v>81</v>
      </c>
      <c r="K645" s="1">
        <v>45174</v>
      </c>
      <c r="L645">
        <v>179.6</v>
      </c>
      <c r="M645">
        <v>26</v>
      </c>
    </row>
    <row r="646" spans="1:13" hidden="1" x14ac:dyDescent="0.25">
      <c r="A646" t="str">
        <f t="shared" si="10"/>
        <v>2023_Qld_Gatton_Chickpea_DetailedTOSTOS1VarietyStrikerWaterTrtIrrigated</v>
      </c>
      <c r="B646">
        <v>2023022</v>
      </c>
      <c r="C646" t="s">
        <v>79</v>
      </c>
      <c r="D646">
        <v>4</v>
      </c>
      <c r="E646" t="s">
        <v>32</v>
      </c>
      <c r="F646" t="s">
        <v>125</v>
      </c>
      <c r="G646" t="s">
        <v>27</v>
      </c>
      <c r="I646">
        <v>1</v>
      </c>
      <c r="J646" t="s">
        <v>80</v>
      </c>
      <c r="K646" s="1">
        <v>45160</v>
      </c>
      <c r="L646">
        <v>423.6</v>
      </c>
      <c r="M646">
        <v>30</v>
      </c>
    </row>
    <row r="647" spans="1:13" hidden="1" x14ac:dyDescent="0.25">
      <c r="A647" t="str">
        <f t="shared" si="10"/>
        <v>2023_Qld_Gatton_Chickpea_DetailedTOSTOS2VarietyStrikerWaterTrtIrrigated</v>
      </c>
      <c r="B647">
        <v>2023022</v>
      </c>
      <c r="C647" t="s">
        <v>79</v>
      </c>
      <c r="D647">
        <v>4</v>
      </c>
      <c r="E647" t="s">
        <v>32</v>
      </c>
      <c r="F647" t="s">
        <v>125</v>
      </c>
      <c r="G647" t="s">
        <v>27</v>
      </c>
      <c r="I647">
        <v>2</v>
      </c>
      <c r="J647" t="s">
        <v>81</v>
      </c>
      <c r="K647" s="1">
        <v>45180</v>
      </c>
      <c r="L647">
        <v>329</v>
      </c>
      <c r="M647">
        <v>26</v>
      </c>
    </row>
    <row r="648" spans="1:13" hidden="1" x14ac:dyDescent="0.25">
      <c r="A648" t="str">
        <f t="shared" si="10"/>
        <v>2023_Qld_Gatton_Chickpea_DetailedTOSTOS1VarietyStrikerWaterTrtRainFed</v>
      </c>
      <c r="B648">
        <v>2023022</v>
      </c>
      <c r="C648" t="s">
        <v>79</v>
      </c>
      <c r="D648">
        <v>4</v>
      </c>
      <c r="E648" t="s">
        <v>32</v>
      </c>
      <c r="F648" t="s">
        <v>125</v>
      </c>
      <c r="G648" t="s">
        <v>30</v>
      </c>
      <c r="I648">
        <v>1</v>
      </c>
      <c r="J648" t="s">
        <v>80</v>
      </c>
      <c r="K648" s="1">
        <v>45153</v>
      </c>
      <c r="L648">
        <v>267.89999999999998</v>
      </c>
      <c r="M648">
        <v>26</v>
      </c>
    </row>
    <row r="649" spans="1:13" hidden="1" x14ac:dyDescent="0.25">
      <c r="A649" t="str">
        <f t="shared" si="10"/>
        <v>2023_Qld_Gatton_Chickpea_DetailedTOSTOS2VarietyStrikerWaterTrtRainFed</v>
      </c>
      <c r="B649">
        <v>2023022</v>
      </c>
      <c r="C649" t="s">
        <v>79</v>
      </c>
      <c r="D649">
        <v>4</v>
      </c>
      <c r="E649" t="s">
        <v>32</v>
      </c>
      <c r="F649" t="s">
        <v>125</v>
      </c>
      <c r="G649" t="s">
        <v>30</v>
      </c>
      <c r="I649">
        <v>2</v>
      </c>
      <c r="J649" t="s">
        <v>81</v>
      </c>
      <c r="K649" s="1">
        <v>45174</v>
      </c>
      <c r="L649">
        <v>214.9</v>
      </c>
      <c r="M649">
        <v>26</v>
      </c>
    </row>
    <row r="650" spans="1:13" hidden="1" x14ac:dyDescent="0.25">
      <c r="A650" t="str">
        <f t="shared" si="10"/>
        <v>2023_Qld_Gatton_Chickpea_DetailedTOSTOS1VarietyCBA_CaptainWaterTrtIrrigated</v>
      </c>
      <c r="B650">
        <v>2023022</v>
      </c>
      <c r="C650" t="s">
        <v>79</v>
      </c>
      <c r="D650">
        <v>5</v>
      </c>
      <c r="E650" t="s">
        <v>33</v>
      </c>
      <c r="F650" t="s">
        <v>26</v>
      </c>
      <c r="G650" t="s">
        <v>27</v>
      </c>
      <c r="I650">
        <v>1</v>
      </c>
      <c r="J650" t="s">
        <v>80</v>
      </c>
      <c r="K650" s="1">
        <v>45180</v>
      </c>
      <c r="L650">
        <v>864.4</v>
      </c>
      <c r="M650">
        <v>42</v>
      </c>
    </row>
    <row r="651" spans="1:13" hidden="1" x14ac:dyDescent="0.25">
      <c r="A651" t="str">
        <f t="shared" si="10"/>
        <v>2023_Qld_Gatton_Chickpea_DetailedTOSTOS2VarietyCBA_CaptainWaterTrtIrrigated</v>
      </c>
      <c r="B651">
        <v>2023022</v>
      </c>
      <c r="C651" t="s">
        <v>79</v>
      </c>
      <c r="D651">
        <v>5</v>
      </c>
      <c r="E651" t="s">
        <v>33</v>
      </c>
      <c r="F651" t="s">
        <v>26</v>
      </c>
      <c r="G651" t="s">
        <v>27</v>
      </c>
      <c r="I651">
        <v>2</v>
      </c>
      <c r="J651" t="s">
        <v>81</v>
      </c>
      <c r="K651" s="1">
        <v>45195</v>
      </c>
      <c r="L651">
        <v>679.8</v>
      </c>
      <c r="M651">
        <v>42</v>
      </c>
    </row>
    <row r="652" spans="1:13" hidden="1" x14ac:dyDescent="0.25">
      <c r="A652" t="str">
        <f t="shared" si="10"/>
        <v>2023_Qld_Gatton_Chickpea_DetailedTOSTOS1VarietyCBA_CaptainWaterTrtRainFed</v>
      </c>
      <c r="B652">
        <v>2023022</v>
      </c>
      <c r="C652" t="s">
        <v>79</v>
      </c>
      <c r="D652">
        <v>5</v>
      </c>
      <c r="E652" t="s">
        <v>33</v>
      </c>
      <c r="F652" t="s">
        <v>26</v>
      </c>
      <c r="G652" t="s">
        <v>30</v>
      </c>
      <c r="I652">
        <v>1</v>
      </c>
      <c r="J652" t="s">
        <v>80</v>
      </c>
      <c r="K652" s="1">
        <v>45174</v>
      </c>
      <c r="L652">
        <v>580.70000000000005</v>
      </c>
      <c r="M652">
        <v>42</v>
      </c>
    </row>
    <row r="653" spans="1:13" hidden="1" x14ac:dyDescent="0.25">
      <c r="A653" t="str">
        <f t="shared" si="10"/>
        <v>2023_Qld_Gatton_Chickpea_DetailedTOSTOS2VarietyCBA_CaptainWaterTrtRainFed</v>
      </c>
      <c r="B653">
        <v>2023022</v>
      </c>
      <c r="C653" t="s">
        <v>79</v>
      </c>
      <c r="D653">
        <v>5</v>
      </c>
      <c r="E653" t="s">
        <v>33</v>
      </c>
      <c r="F653" t="s">
        <v>26</v>
      </c>
      <c r="G653" t="s">
        <v>30</v>
      </c>
      <c r="I653">
        <v>2</v>
      </c>
      <c r="J653" t="s">
        <v>81</v>
      </c>
      <c r="K653" s="1">
        <v>45189</v>
      </c>
      <c r="L653">
        <v>387.6</v>
      </c>
      <c r="M653">
        <v>42</v>
      </c>
    </row>
    <row r="654" spans="1:13" hidden="1" x14ac:dyDescent="0.25">
      <c r="A654" t="str">
        <f t="shared" si="10"/>
        <v>2023_Qld_Gatton_Chickpea_DetailedTOSTOS1VarietyDrummondWaterTrtIrrigated</v>
      </c>
      <c r="B654">
        <v>2023022</v>
      </c>
      <c r="C654" t="s">
        <v>79</v>
      </c>
      <c r="D654">
        <v>5</v>
      </c>
      <c r="E654" t="s">
        <v>33</v>
      </c>
      <c r="F654" t="s">
        <v>123</v>
      </c>
      <c r="G654" t="s">
        <v>27</v>
      </c>
      <c r="I654">
        <v>1</v>
      </c>
      <c r="J654" t="s">
        <v>80</v>
      </c>
      <c r="K654" s="1">
        <v>45180</v>
      </c>
      <c r="L654">
        <v>820.6</v>
      </c>
      <c r="M654">
        <v>42</v>
      </c>
    </row>
    <row r="655" spans="1:13" hidden="1" x14ac:dyDescent="0.25">
      <c r="A655" t="str">
        <f t="shared" si="10"/>
        <v>2023_Qld_Gatton_Chickpea_DetailedTOSTOS2VarietyDrummondWaterTrtIrrigated</v>
      </c>
      <c r="B655">
        <v>2023022</v>
      </c>
      <c r="C655" t="s">
        <v>79</v>
      </c>
      <c r="D655">
        <v>5</v>
      </c>
      <c r="E655" t="s">
        <v>33</v>
      </c>
      <c r="F655" t="s">
        <v>123</v>
      </c>
      <c r="G655" t="s">
        <v>27</v>
      </c>
      <c r="I655">
        <v>2</v>
      </c>
      <c r="J655" t="s">
        <v>81</v>
      </c>
      <c r="K655" s="1">
        <v>45202</v>
      </c>
      <c r="L655">
        <v>770.3</v>
      </c>
      <c r="M655">
        <v>42</v>
      </c>
    </row>
    <row r="656" spans="1:13" hidden="1" x14ac:dyDescent="0.25">
      <c r="A656" t="str">
        <f t="shared" si="10"/>
        <v>2023_Qld_Gatton_Chickpea_DetailedTOSTOS1VarietyDrummondWaterTrtRainFed</v>
      </c>
      <c r="B656">
        <v>2023022</v>
      </c>
      <c r="C656" t="s">
        <v>79</v>
      </c>
      <c r="D656">
        <v>5</v>
      </c>
      <c r="E656" t="s">
        <v>33</v>
      </c>
      <c r="F656" t="s">
        <v>123</v>
      </c>
      <c r="G656" t="s">
        <v>30</v>
      </c>
      <c r="I656">
        <v>1</v>
      </c>
      <c r="J656" t="s">
        <v>80</v>
      </c>
      <c r="K656" s="1">
        <v>45174</v>
      </c>
      <c r="L656">
        <v>533.20000000000005</v>
      </c>
      <c r="M656">
        <v>42</v>
      </c>
    </row>
    <row r="657" spans="1:25" hidden="1" x14ac:dyDescent="0.25">
      <c r="A657" t="str">
        <f t="shared" si="10"/>
        <v>2023_Qld_Gatton_Chickpea_DetailedTOSTOS2VarietyDrummondWaterTrtRainFed</v>
      </c>
      <c r="B657">
        <v>2023022</v>
      </c>
      <c r="C657" t="s">
        <v>79</v>
      </c>
      <c r="D657">
        <v>5</v>
      </c>
      <c r="E657" t="s">
        <v>33</v>
      </c>
      <c r="F657" t="s">
        <v>123</v>
      </c>
      <c r="G657" t="s">
        <v>30</v>
      </c>
      <c r="I657">
        <v>2</v>
      </c>
      <c r="J657" t="s">
        <v>81</v>
      </c>
      <c r="K657" s="1">
        <v>45189</v>
      </c>
      <c r="L657">
        <v>353.9</v>
      </c>
      <c r="M657">
        <v>42</v>
      </c>
    </row>
    <row r="658" spans="1:25" hidden="1" x14ac:dyDescent="0.25">
      <c r="A658" t="str">
        <f t="shared" si="10"/>
        <v>2023_Qld_Gatton_Chickpea_DetailedTOSTOS1VarietyHatTrickWaterTrtIrrigated</v>
      </c>
      <c r="B658">
        <v>2023022</v>
      </c>
      <c r="C658" t="s">
        <v>79</v>
      </c>
      <c r="D658">
        <v>5</v>
      </c>
      <c r="E658" t="s">
        <v>33</v>
      </c>
      <c r="F658" t="s">
        <v>124</v>
      </c>
      <c r="G658" t="s">
        <v>27</v>
      </c>
      <c r="I658">
        <v>1</v>
      </c>
      <c r="J658" t="s">
        <v>80</v>
      </c>
      <c r="K658" s="1">
        <v>45180</v>
      </c>
      <c r="L658">
        <v>779.9</v>
      </c>
      <c r="M658">
        <v>42</v>
      </c>
    </row>
    <row r="659" spans="1:25" hidden="1" x14ac:dyDescent="0.25">
      <c r="A659" t="str">
        <f t="shared" si="10"/>
        <v>2023_Qld_Gatton_Chickpea_DetailedTOSTOS2VarietyHatTrickWaterTrtIrrigated</v>
      </c>
      <c r="B659">
        <v>2023022</v>
      </c>
      <c r="C659" t="s">
        <v>79</v>
      </c>
      <c r="D659">
        <v>5</v>
      </c>
      <c r="E659" t="s">
        <v>33</v>
      </c>
      <c r="F659" t="s">
        <v>124</v>
      </c>
      <c r="G659" t="s">
        <v>27</v>
      </c>
      <c r="I659">
        <v>2</v>
      </c>
      <c r="J659" t="s">
        <v>81</v>
      </c>
      <c r="K659" s="1">
        <v>45202</v>
      </c>
      <c r="L659">
        <v>750.2</v>
      </c>
      <c r="M659">
        <v>42</v>
      </c>
    </row>
    <row r="660" spans="1:25" hidden="1" x14ac:dyDescent="0.25">
      <c r="A660" t="str">
        <f t="shared" si="10"/>
        <v>2023_Qld_Gatton_Chickpea_DetailedTOSTOS1VarietyHatTrickWaterTrtRainFed</v>
      </c>
      <c r="B660">
        <v>2023022</v>
      </c>
      <c r="C660" t="s">
        <v>79</v>
      </c>
      <c r="D660">
        <v>5</v>
      </c>
      <c r="E660" t="s">
        <v>33</v>
      </c>
      <c r="F660" t="s">
        <v>124</v>
      </c>
      <c r="G660" t="s">
        <v>30</v>
      </c>
      <c r="I660">
        <v>1</v>
      </c>
      <c r="J660" t="s">
        <v>80</v>
      </c>
      <c r="K660" s="1">
        <v>45174</v>
      </c>
      <c r="L660">
        <v>531.6</v>
      </c>
      <c r="M660">
        <v>42</v>
      </c>
    </row>
    <row r="661" spans="1:25" hidden="1" x14ac:dyDescent="0.25">
      <c r="A661" t="str">
        <f t="shared" si="10"/>
        <v>2023_Qld_Gatton_Chickpea_DetailedTOSTOS2VarietyHatTrickWaterTrtRainFed</v>
      </c>
      <c r="B661">
        <v>2023022</v>
      </c>
      <c r="C661" t="s">
        <v>79</v>
      </c>
      <c r="D661">
        <v>5</v>
      </c>
      <c r="E661" t="s">
        <v>33</v>
      </c>
      <c r="F661" t="s">
        <v>124</v>
      </c>
      <c r="G661" t="s">
        <v>30</v>
      </c>
      <c r="I661">
        <v>2</v>
      </c>
      <c r="J661" t="s">
        <v>81</v>
      </c>
      <c r="K661" s="1">
        <v>45189</v>
      </c>
      <c r="L661">
        <v>362</v>
      </c>
      <c r="M661">
        <v>42</v>
      </c>
    </row>
    <row r="662" spans="1:25" hidden="1" x14ac:dyDescent="0.25">
      <c r="A662" t="str">
        <f t="shared" si="10"/>
        <v>2023_Qld_Gatton_Chickpea_DetailedTOSTOS1VarietyStrikerWaterTrtIrrigated</v>
      </c>
      <c r="B662">
        <v>2023022</v>
      </c>
      <c r="C662" t="s">
        <v>79</v>
      </c>
      <c r="D662">
        <v>5</v>
      </c>
      <c r="E662" t="s">
        <v>33</v>
      </c>
      <c r="F662" t="s">
        <v>125</v>
      </c>
      <c r="G662" t="s">
        <v>27</v>
      </c>
      <c r="I662">
        <v>1</v>
      </c>
      <c r="J662" t="s">
        <v>80</v>
      </c>
      <c r="K662" s="1">
        <v>45180</v>
      </c>
      <c r="L662">
        <v>907.8</v>
      </c>
      <c r="M662">
        <v>42</v>
      </c>
    </row>
    <row r="663" spans="1:25" hidden="1" x14ac:dyDescent="0.25">
      <c r="A663" t="str">
        <f t="shared" si="10"/>
        <v>2023_Qld_Gatton_Chickpea_DetailedTOSTOS2VarietyStrikerWaterTrtIrrigated</v>
      </c>
      <c r="B663">
        <v>2023022</v>
      </c>
      <c r="C663" t="s">
        <v>79</v>
      </c>
      <c r="D663">
        <v>5</v>
      </c>
      <c r="E663" t="s">
        <v>33</v>
      </c>
      <c r="F663" t="s">
        <v>125</v>
      </c>
      <c r="G663" t="s">
        <v>27</v>
      </c>
      <c r="I663">
        <v>2</v>
      </c>
      <c r="J663" t="s">
        <v>81</v>
      </c>
      <c r="K663" s="1">
        <v>45195</v>
      </c>
      <c r="L663">
        <v>633.6</v>
      </c>
      <c r="M663">
        <v>42</v>
      </c>
    </row>
    <row r="664" spans="1:25" hidden="1" x14ac:dyDescent="0.25">
      <c r="A664" t="str">
        <f t="shared" si="10"/>
        <v>2023_Qld_Gatton_Chickpea_DetailedTOSTOS1VarietyStrikerWaterTrtRainFed</v>
      </c>
      <c r="B664">
        <v>2023022</v>
      </c>
      <c r="C664" t="s">
        <v>79</v>
      </c>
      <c r="D664">
        <v>5</v>
      </c>
      <c r="E664" t="s">
        <v>33</v>
      </c>
      <c r="F664" t="s">
        <v>125</v>
      </c>
      <c r="G664" t="s">
        <v>30</v>
      </c>
      <c r="I664">
        <v>1</v>
      </c>
      <c r="J664" t="s">
        <v>80</v>
      </c>
      <c r="K664" s="1">
        <v>45174</v>
      </c>
      <c r="L664">
        <v>561.4</v>
      </c>
      <c r="M664">
        <v>42</v>
      </c>
    </row>
    <row r="665" spans="1:25" hidden="1" x14ac:dyDescent="0.25">
      <c r="A665" t="str">
        <f t="shared" si="10"/>
        <v>2023_Qld_Gatton_Chickpea_DetailedTOSTOS2VarietyStrikerWaterTrtRainFed</v>
      </c>
      <c r="B665">
        <v>2023022</v>
      </c>
      <c r="C665" t="s">
        <v>79</v>
      </c>
      <c r="D665">
        <v>5</v>
      </c>
      <c r="E665" t="s">
        <v>33</v>
      </c>
      <c r="F665" t="s">
        <v>125</v>
      </c>
      <c r="G665" t="s">
        <v>30</v>
      </c>
      <c r="I665">
        <v>2</v>
      </c>
      <c r="J665" t="s">
        <v>81</v>
      </c>
      <c r="K665" s="1">
        <v>45189</v>
      </c>
      <c r="L665">
        <v>402.3</v>
      </c>
      <c r="M665">
        <v>42</v>
      </c>
    </row>
    <row r="666" spans="1:25" hidden="1" x14ac:dyDescent="0.25">
      <c r="A666" t="str">
        <f t="shared" si="10"/>
        <v>2023_Qld_Gatton_Chickpea_DetailedTOSTOS1VarietyCBA_CaptainWaterTrtIrrigated</v>
      </c>
      <c r="B666">
        <v>2023022</v>
      </c>
      <c r="C666" t="s">
        <v>79</v>
      </c>
      <c r="D666">
        <v>6</v>
      </c>
      <c r="E666" t="s">
        <v>34</v>
      </c>
      <c r="F666" t="s">
        <v>26</v>
      </c>
      <c r="G666" t="s">
        <v>27</v>
      </c>
      <c r="I666">
        <v>1</v>
      </c>
      <c r="J666" t="s">
        <v>80</v>
      </c>
      <c r="K666" s="1">
        <v>45216</v>
      </c>
      <c r="L666">
        <v>1346.9</v>
      </c>
      <c r="M666">
        <v>55</v>
      </c>
      <c r="N666">
        <v>0.442</v>
      </c>
      <c r="O666">
        <v>1.0999999999999999E-2</v>
      </c>
      <c r="P666">
        <v>1981</v>
      </c>
      <c r="Q666">
        <v>130</v>
      </c>
      <c r="T666">
        <v>2645</v>
      </c>
      <c r="U666">
        <v>250</v>
      </c>
      <c r="V666">
        <v>228.20500000000001</v>
      </c>
      <c r="W666">
        <v>7.6953593101456903</v>
      </c>
      <c r="X666">
        <v>596</v>
      </c>
      <c r="Y666">
        <v>28</v>
      </c>
    </row>
    <row r="667" spans="1:25" hidden="1" x14ac:dyDescent="0.25">
      <c r="A667" t="str">
        <f t="shared" si="10"/>
        <v>2023_Qld_Gatton_Chickpea_DetailedTOSTOS2VarietyCBA_CaptainWaterTrtIrrigated</v>
      </c>
      <c r="B667">
        <v>2023022</v>
      </c>
      <c r="C667" t="s">
        <v>79</v>
      </c>
      <c r="D667">
        <v>6</v>
      </c>
      <c r="E667" t="s">
        <v>34</v>
      </c>
      <c r="F667" t="s">
        <v>26</v>
      </c>
      <c r="G667" t="s">
        <v>27</v>
      </c>
      <c r="I667">
        <v>2</v>
      </c>
      <c r="J667" t="s">
        <v>81</v>
      </c>
      <c r="K667" s="1">
        <v>45223</v>
      </c>
      <c r="L667">
        <v>1031.7</v>
      </c>
      <c r="M667">
        <v>55</v>
      </c>
      <c r="N667">
        <v>0.44</v>
      </c>
      <c r="O667">
        <v>1.0999999999999999E-2</v>
      </c>
      <c r="P667">
        <v>2027</v>
      </c>
      <c r="Q667">
        <v>130</v>
      </c>
      <c r="T667">
        <v>2583</v>
      </c>
      <c r="U667">
        <v>250</v>
      </c>
      <c r="V667">
        <v>187.29000000000201</v>
      </c>
      <c r="W667">
        <v>7.69535931014574</v>
      </c>
      <c r="X667">
        <v>454</v>
      </c>
      <c r="Y667">
        <v>28</v>
      </c>
    </row>
    <row r="668" spans="1:25" hidden="1" x14ac:dyDescent="0.25">
      <c r="A668" t="str">
        <f t="shared" si="10"/>
        <v>2023_Qld_Gatton_Chickpea_DetailedTOSTOS1VarietyCBA_CaptainWaterTrtRainFed</v>
      </c>
      <c r="B668">
        <v>2023022</v>
      </c>
      <c r="C668" t="s">
        <v>79</v>
      </c>
      <c r="D668">
        <v>6</v>
      </c>
      <c r="E668" t="s">
        <v>34</v>
      </c>
      <c r="F668" t="s">
        <v>26</v>
      </c>
      <c r="G668" t="s">
        <v>30</v>
      </c>
      <c r="I668">
        <v>1</v>
      </c>
      <c r="J668" t="s">
        <v>80</v>
      </c>
      <c r="K668" s="1">
        <v>45209</v>
      </c>
      <c r="L668">
        <v>727.7</v>
      </c>
      <c r="M668">
        <v>55</v>
      </c>
      <c r="N668">
        <v>0.55100000000000005</v>
      </c>
      <c r="O668">
        <v>0.02</v>
      </c>
      <c r="P668">
        <v>1417</v>
      </c>
      <c r="Q668">
        <v>130</v>
      </c>
      <c r="T668">
        <v>1849</v>
      </c>
      <c r="U668">
        <v>140</v>
      </c>
      <c r="V668">
        <v>209.54000000000099</v>
      </c>
      <c r="W668">
        <v>5.7896287055757201</v>
      </c>
      <c r="X668">
        <v>399</v>
      </c>
      <c r="Y668">
        <v>28</v>
      </c>
    </row>
    <row r="669" spans="1:25" hidden="1" x14ac:dyDescent="0.25">
      <c r="A669" t="str">
        <f t="shared" si="10"/>
        <v>2023_Qld_Gatton_Chickpea_DetailedTOSTOS2VarietyCBA_CaptainWaterTrtRainFed</v>
      </c>
      <c r="B669">
        <v>2023022</v>
      </c>
      <c r="C669" t="s">
        <v>79</v>
      </c>
      <c r="D669">
        <v>6</v>
      </c>
      <c r="E669" t="s">
        <v>34</v>
      </c>
      <c r="F669" t="s">
        <v>26</v>
      </c>
      <c r="G669" t="s">
        <v>30</v>
      </c>
      <c r="I669">
        <v>2</v>
      </c>
      <c r="J669" t="s">
        <v>81</v>
      </c>
      <c r="K669" s="1">
        <v>45216</v>
      </c>
      <c r="L669">
        <v>542</v>
      </c>
      <c r="M669">
        <v>55</v>
      </c>
      <c r="N669">
        <v>0.53200000000000003</v>
      </c>
      <c r="O669">
        <v>0.02</v>
      </c>
      <c r="P669">
        <v>1157</v>
      </c>
      <c r="Q669">
        <v>130</v>
      </c>
      <c r="T669">
        <v>1478</v>
      </c>
      <c r="U669">
        <v>140</v>
      </c>
      <c r="V669">
        <v>212.71</v>
      </c>
      <c r="W669">
        <v>5.7896287055756996</v>
      </c>
      <c r="X669">
        <v>289</v>
      </c>
      <c r="Y669">
        <v>28</v>
      </c>
    </row>
    <row r="670" spans="1:25" hidden="1" x14ac:dyDescent="0.25">
      <c r="A670" t="str">
        <f t="shared" si="10"/>
        <v>2023_Qld_Gatton_Chickpea_DetailedTOSTOS1VarietyDrummondWaterTrtIrrigated</v>
      </c>
      <c r="B670">
        <v>2023022</v>
      </c>
      <c r="C670" t="s">
        <v>79</v>
      </c>
      <c r="D670">
        <v>6</v>
      </c>
      <c r="E670" t="s">
        <v>34</v>
      </c>
      <c r="F670" t="s">
        <v>123</v>
      </c>
      <c r="G670" t="s">
        <v>27</v>
      </c>
      <c r="I670">
        <v>1</v>
      </c>
      <c r="J670" t="s">
        <v>80</v>
      </c>
      <c r="K670" s="1">
        <v>45216</v>
      </c>
      <c r="L670">
        <v>1460.3</v>
      </c>
      <c r="M670">
        <v>55</v>
      </c>
      <c r="N670">
        <v>0.42799999999999999</v>
      </c>
      <c r="O670">
        <v>1.0999999999999999E-2</v>
      </c>
      <c r="P670">
        <v>1892</v>
      </c>
      <c r="Q670">
        <v>130</v>
      </c>
      <c r="T670">
        <v>2980</v>
      </c>
      <c r="U670">
        <v>250</v>
      </c>
      <c r="V670">
        <v>219.57250000000101</v>
      </c>
      <c r="W670">
        <v>7.6953593101457196</v>
      </c>
      <c r="X670">
        <v>625</v>
      </c>
      <c r="Y670">
        <v>28</v>
      </c>
    </row>
    <row r="671" spans="1:25" hidden="1" x14ac:dyDescent="0.25">
      <c r="A671" t="str">
        <f t="shared" si="10"/>
        <v>2023_Qld_Gatton_Chickpea_DetailedTOSTOS2VarietyDrummondWaterTrtIrrigated</v>
      </c>
      <c r="B671">
        <v>2023022</v>
      </c>
      <c r="C671" t="s">
        <v>79</v>
      </c>
      <c r="D671">
        <v>6</v>
      </c>
      <c r="E671" t="s">
        <v>34</v>
      </c>
      <c r="F671" t="s">
        <v>123</v>
      </c>
      <c r="G671" t="s">
        <v>27</v>
      </c>
      <c r="I671">
        <v>2</v>
      </c>
      <c r="J671" t="s">
        <v>81</v>
      </c>
      <c r="K671" s="1">
        <v>45223</v>
      </c>
      <c r="L671">
        <v>1152.2</v>
      </c>
      <c r="M671">
        <v>55</v>
      </c>
      <c r="N671">
        <v>0.44400000000000001</v>
      </c>
      <c r="O671">
        <v>1.0999999999999999E-2</v>
      </c>
      <c r="P671">
        <v>1955</v>
      </c>
      <c r="Q671">
        <v>130</v>
      </c>
      <c r="T671">
        <v>2875</v>
      </c>
      <c r="U671">
        <v>250</v>
      </c>
      <c r="V671">
        <v>183.72749999999999</v>
      </c>
      <c r="W671">
        <v>7.6953593101457196</v>
      </c>
      <c r="X671">
        <v>510</v>
      </c>
      <c r="Y671">
        <v>28</v>
      </c>
    </row>
    <row r="672" spans="1:25" hidden="1" x14ac:dyDescent="0.25">
      <c r="A672" t="str">
        <f t="shared" si="10"/>
        <v>2023_Qld_Gatton_Chickpea_DetailedTOSTOS1VarietyDrummondWaterTrtRainFed</v>
      </c>
      <c r="B672">
        <v>2023022</v>
      </c>
      <c r="C672" t="s">
        <v>79</v>
      </c>
      <c r="D672">
        <v>6</v>
      </c>
      <c r="E672" t="s">
        <v>34</v>
      </c>
      <c r="F672" t="s">
        <v>123</v>
      </c>
      <c r="G672" t="s">
        <v>30</v>
      </c>
      <c r="I672">
        <v>1</v>
      </c>
      <c r="J672" t="s">
        <v>80</v>
      </c>
      <c r="K672" s="1">
        <v>45209</v>
      </c>
      <c r="L672">
        <v>814.2</v>
      </c>
      <c r="M672">
        <v>55</v>
      </c>
      <c r="N672">
        <v>0.50900000000000001</v>
      </c>
      <c r="O672">
        <v>0.02</v>
      </c>
      <c r="P672">
        <v>1513</v>
      </c>
      <c r="Q672">
        <v>130</v>
      </c>
      <c r="T672">
        <v>2098</v>
      </c>
      <c r="U672">
        <v>140</v>
      </c>
      <c r="V672">
        <v>201.08250000000001</v>
      </c>
      <c r="W672">
        <v>5.7896287055756996</v>
      </c>
      <c r="X672">
        <v>414</v>
      </c>
      <c r="Y672">
        <v>28</v>
      </c>
    </row>
    <row r="673" spans="1:25" hidden="1" x14ac:dyDescent="0.25">
      <c r="A673" t="str">
        <f t="shared" si="10"/>
        <v>2023_Qld_Gatton_Chickpea_DetailedTOSTOS2VarietyDrummondWaterTrtRainFed</v>
      </c>
      <c r="B673">
        <v>2023022</v>
      </c>
      <c r="C673" t="s">
        <v>79</v>
      </c>
      <c r="D673">
        <v>6</v>
      </c>
      <c r="E673" t="s">
        <v>34</v>
      </c>
      <c r="F673" t="s">
        <v>123</v>
      </c>
      <c r="G673" t="s">
        <v>30</v>
      </c>
      <c r="I673">
        <v>2</v>
      </c>
      <c r="J673" t="s">
        <v>81</v>
      </c>
      <c r="K673" s="1">
        <v>45216</v>
      </c>
      <c r="L673">
        <v>626.79999999999995</v>
      </c>
      <c r="M673">
        <v>55</v>
      </c>
      <c r="N673">
        <v>0.52900000000000003</v>
      </c>
      <c r="O673">
        <v>0.02</v>
      </c>
      <c r="P673">
        <v>1435</v>
      </c>
      <c r="Q673">
        <v>130</v>
      </c>
      <c r="T673">
        <v>1855</v>
      </c>
      <c r="U673">
        <v>140</v>
      </c>
      <c r="V673">
        <v>187.465</v>
      </c>
      <c r="W673">
        <v>5.7896287055756996</v>
      </c>
      <c r="X673">
        <v>330</v>
      </c>
      <c r="Y673">
        <v>28</v>
      </c>
    </row>
    <row r="674" spans="1:25" hidden="1" x14ac:dyDescent="0.25">
      <c r="A674" t="str">
        <f t="shared" si="10"/>
        <v>2023_Qld_Gatton_Chickpea_DetailedTOSTOS1VarietyHatTrickWaterTrtIrrigated</v>
      </c>
      <c r="B674">
        <v>2023022</v>
      </c>
      <c r="C674" t="s">
        <v>79</v>
      </c>
      <c r="D674">
        <v>6</v>
      </c>
      <c r="E674" t="s">
        <v>34</v>
      </c>
      <c r="F674" t="s">
        <v>124</v>
      </c>
      <c r="G674" t="s">
        <v>27</v>
      </c>
      <c r="I674">
        <v>1</v>
      </c>
      <c r="J674" t="s">
        <v>80</v>
      </c>
      <c r="K674" s="1">
        <v>45216</v>
      </c>
      <c r="L674">
        <v>1380.4</v>
      </c>
      <c r="M674">
        <v>55</v>
      </c>
      <c r="N674">
        <v>0.39500000000000002</v>
      </c>
      <c r="O674">
        <v>1.0999999999999999E-2</v>
      </c>
      <c r="P674">
        <v>2885</v>
      </c>
      <c r="Q674">
        <v>140</v>
      </c>
      <c r="T674">
        <v>3051</v>
      </c>
      <c r="U674">
        <v>250</v>
      </c>
      <c r="V674">
        <v>197.77250000000001</v>
      </c>
      <c r="W674">
        <v>7.6953593101457196</v>
      </c>
      <c r="X674">
        <v>545</v>
      </c>
      <c r="Y674">
        <v>28</v>
      </c>
    </row>
    <row r="675" spans="1:25" hidden="1" x14ac:dyDescent="0.25">
      <c r="A675" t="str">
        <f t="shared" si="10"/>
        <v>2023_Qld_Gatton_Chickpea_DetailedTOSTOS2VarietyHatTrickWaterTrtIrrigated</v>
      </c>
      <c r="B675">
        <v>2023022</v>
      </c>
      <c r="C675" t="s">
        <v>79</v>
      </c>
      <c r="D675">
        <v>6</v>
      </c>
      <c r="E675" t="s">
        <v>34</v>
      </c>
      <c r="F675" t="s">
        <v>124</v>
      </c>
      <c r="G675" t="s">
        <v>27</v>
      </c>
      <c r="I675">
        <v>2</v>
      </c>
      <c r="J675" t="s">
        <v>81</v>
      </c>
      <c r="K675" s="1">
        <v>45223</v>
      </c>
      <c r="L675">
        <v>1007.5</v>
      </c>
      <c r="M675">
        <v>55</v>
      </c>
      <c r="N675">
        <v>0.40899999999999997</v>
      </c>
      <c r="O675">
        <v>1.0999999999999999E-2</v>
      </c>
      <c r="P675">
        <v>2193</v>
      </c>
      <c r="Q675">
        <v>130</v>
      </c>
      <c r="T675">
        <v>2622</v>
      </c>
      <c r="U675">
        <v>250</v>
      </c>
      <c r="V675">
        <v>173.57499999999999</v>
      </c>
      <c r="W675">
        <v>7.6953593101457196</v>
      </c>
      <c r="X675">
        <v>413</v>
      </c>
      <c r="Y675">
        <v>28</v>
      </c>
    </row>
    <row r="676" spans="1:25" hidden="1" x14ac:dyDescent="0.25">
      <c r="A676" t="str">
        <f t="shared" si="10"/>
        <v>2023_Qld_Gatton_Chickpea_DetailedTOSTOS1VarietyHatTrickWaterTrtRainFed</v>
      </c>
      <c r="B676">
        <v>2023022</v>
      </c>
      <c r="C676" t="s">
        <v>79</v>
      </c>
      <c r="D676">
        <v>6</v>
      </c>
      <c r="E676" t="s">
        <v>34</v>
      </c>
      <c r="F676" t="s">
        <v>124</v>
      </c>
      <c r="G676" t="s">
        <v>30</v>
      </c>
      <c r="I676">
        <v>1</v>
      </c>
      <c r="J676" t="s">
        <v>80</v>
      </c>
      <c r="K676" s="1">
        <v>45209</v>
      </c>
      <c r="L676">
        <v>754.4</v>
      </c>
      <c r="M676">
        <v>55</v>
      </c>
      <c r="N676">
        <v>0.46300000000000002</v>
      </c>
      <c r="O676">
        <v>0.02</v>
      </c>
      <c r="P676">
        <v>1848</v>
      </c>
      <c r="Q676">
        <v>130</v>
      </c>
      <c r="T676">
        <v>1874</v>
      </c>
      <c r="U676">
        <v>140</v>
      </c>
      <c r="V676">
        <v>194.04</v>
      </c>
      <c r="W676">
        <v>5.7896287055756996</v>
      </c>
      <c r="X676">
        <v>345</v>
      </c>
      <c r="Y676">
        <v>28</v>
      </c>
    </row>
    <row r="677" spans="1:25" hidden="1" x14ac:dyDescent="0.25">
      <c r="A677" t="str">
        <f t="shared" si="10"/>
        <v>2023_Qld_Gatton_Chickpea_DetailedTOSTOS2VarietyHatTrickWaterTrtRainFed</v>
      </c>
      <c r="B677">
        <v>2023022</v>
      </c>
      <c r="C677" t="s">
        <v>79</v>
      </c>
      <c r="D677">
        <v>6</v>
      </c>
      <c r="E677" t="s">
        <v>34</v>
      </c>
      <c r="F677" t="s">
        <v>124</v>
      </c>
      <c r="G677" t="s">
        <v>30</v>
      </c>
      <c r="I677">
        <v>2</v>
      </c>
      <c r="J677" t="s">
        <v>81</v>
      </c>
      <c r="K677" s="1">
        <v>45216</v>
      </c>
      <c r="L677">
        <v>496.5</v>
      </c>
      <c r="M677">
        <v>55</v>
      </c>
      <c r="N677">
        <v>0.51400000000000001</v>
      </c>
      <c r="O677">
        <v>0.02</v>
      </c>
      <c r="P677">
        <v>1395</v>
      </c>
      <c r="Q677">
        <v>130</v>
      </c>
      <c r="T677">
        <v>1405</v>
      </c>
      <c r="U677">
        <v>140</v>
      </c>
      <c r="V677">
        <v>175.17500000000001</v>
      </c>
      <c r="W677">
        <v>5.7896287055756996</v>
      </c>
      <c r="X677">
        <v>252</v>
      </c>
      <c r="Y677">
        <v>28</v>
      </c>
    </row>
    <row r="678" spans="1:25" hidden="1" x14ac:dyDescent="0.25">
      <c r="A678" t="str">
        <f t="shared" si="10"/>
        <v>2023_Qld_Gatton_Chickpea_DetailedTOSTOS1VarietyStrikerWaterTrtIrrigated</v>
      </c>
      <c r="B678">
        <v>2023022</v>
      </c>
      <c r="C678" t="s">
        <v>79</v>
      </c>
      <c r="D678">
        <v>6</v>
      </c>
      <c r="E678" t="s">
        <v>34</v>
      </c>
      <c r="F678" t="s">
        <v>125</v>
      </c>
      <c r="G678" t="s">
        <v>27</v>
      </c>
      <c r="I678">
        <v>1</v>
      </c>
      <c r="J678" t="s">
        <v>80</v>
      </c>
      <c r="K678" s="1">
        <v>45216</v>
      </c>
      <c r="L678">
        <v>1685.5</v>
      </c>
      <c r="M678">
        <v>55</v>
      </c>
      <c r="N678">
        <v>0.46500000000000002</v>
      </c>
      <c r="O678">
        <v>1.0999999999999999E-2</v>
      </c>
      <c r="P678">
        <v>2593</v>
      </c>
      <c r="Q678">
        <v>130</v>
      </c>
      <c r="T678">
        <v>3127</v>
      </c>
      <c r="U678">
        <v>250</v>
      </c>
      <c r="V678">
        <v>239.25749999999999</v>
      </c>
      <c r="W678">
        <v>7.6953593101457196</v>
      </c>
      <c r="X678">
        <v>783</v>
      </c>
      <c r="Y678">
        <v>28</v>
      </c>
    </row>
    <row r="679" spans="1:25" hidden="1" x14ac:dyDescent="0.25">
      <c r="A679" t="str">
        <f t="shared" si="10"/>
        <v>2023_Qld_Gatton_Chickpea_DetailedTOSTOS2VarietyStrikerWaterTrtIrrigated</v>
      </c>
      <c r="B679">
        <v>2023022</v>
      </c>
      <c r="C679" t="s">
        <v>79</v>
      </c>
      <c r="D679">
        <v>6</v>
      </c>
      <c r="E679" t="s">
        <v>34</v>
      </c>
      <c r="F679" t="s">
        <v>125</v>
      </c>
      <c r="G679" t="s">
        <v>27</v>
      </c>
      <c r="I679">
        <v>2</v>
      </c>
      <c r="J679" t="s">
        <v>81</v>
      </c>
      <c r="K679" s="1">
        <v>45223</v>
      </c>
      <c r="L679">
        <v>1295</v>
      </c>
      <c r="M679">
        <v>55</v>
      </c>
      <c r="N679">
        <v>0.48099999999999998</v>
      </c>
      <c r="O679">
        <v>1.0999999999999999E-2</v>
      </c>
      <c r="P679">
        <v>2257</v>
      </c>
      <c r="Q679">
        <v>130</v>
      </c>
      <c r="T679">
        <v>2651</v>
      </c>
      <c r="U679">
        <v>250</v>
      </c>
      <c r="V679">
        <v>235.215</v>
      </c>
      <c r="W679">
        <v>7.6953593101457196</v>
      </c>
      <c r="X679">
        <v>623</v>
      </c>
      <c r="Y679">
        <v>28</v>
      </c>
    </row>
    <row r="680" spans="1:25" hidden="1" x14ac:dyDescent="0.25">
      <c r="A680" t="str">
        <f t="shared" si="10"/>
        <v>2023_Qld_Gatton_Chickpea_DetailedTOSTOS1VarietyStrikerWaterTrtRainFed</v>
      </c>
      <c r="B680">
        <v>2023022</v>
      </c>
      <c r="C680" t="s">
        <v>79</v>
      </c>
      <c r="D680">
        <v>6</v>
      </c>
      <c r="E680" t="s">
        <v>34</v>
      </c>
      <c r="F680" t="s">
        <v>125</v>
      </c>
      <c r="G680" t="s">
        <v>30</v>
      </c>
      <c r="I680">
        <v>1</v>
      </c>
      <c r="J680" t="s">
        <v>80</v>
      </c>
      <c r="K680" s="1">
        <v>45209</v>
      </c>
      <c r="L680">
        <v>774.6</v>
      </c>
      <c r="M680">
        <v>55</v>
      </c>
      <c r="N680">
        <v>0.53500000000000003</v>
      </c>
      <c r="O680">
        <v>0.02</v>
      </c>
      <c r="P680">
        <v>1712</v>
      </c>
      <c r="Q680">
        <v>130</v>
      </c>
      <c r="T680">
        <v>1855</v>
      </c>
      <c r="U680">
        <v>140</v>
      </c>
      <c r="V680">
        <v>228.14250000000001</v>
      </c>
      <c r="W680">
        <v>5.7896287055756996</v>
      </c>
      <c r="X680">
        <v>416</v>
      </c>
      <c r="Y680">
        <v>28</v>
      </c>
    </row>
    <row r="681" spans="1:25" hidden="1" x14ac:dyDescent="0.25">
      <c r="A681" t="str">
        <f t="shared" si="10"/>
        <v>2023_Qld_Gatton_Chickpea_DetailedTOSTOS2VarietyStrikerWaterTrtRainFed</v>
      </c>
      <c r="B681">
        <v>2023022</v>
      </c>
      <c r="C681" t="s">
        <v>79</v>
      </c>
      <c r="D681">
        <v>6</v>
      </c>
      <c r="E681" t="s">
        <v>34</v>
      </c>
      <c r="F681" t="s">
        <v>125</v>
      </c>
      <c r="G681" t="s">
        <v>30</v>
      </c>
      <c r="I681">
        <v>2</v>
      </c>
      <c r="J681" t="s">
        <v>81</v>
      </c>
      <c r="K681" s="1">
        <v>45216</v>
      </c>
      <c r="L681">
        <v>539.9</v>
      </c>
      <c r="M681">
        <v>55</v>
      </c>
      <c r="N681">
        <v>0.54</v>
      </c>
      <c r="O681">
        <v>0.02</v>
      </c>
      <c r="P681">
        <v>1363</v>
      </c>
      <c r="Q681">
        <v>130</v>
      </c>
      <c r="T681">
        <v>1403</v>
      </c>
      <c r="U681">
        <v>140</v>
      </c>
      <c r="V681">
        <v>211.72</v>
      </c>
      <c r="W681">
        <v>5.7896287055756996</v>
      </c>
      <c r="X681">
        <v>293</v>
      </c>
      <c r="Y681">
        <v>28</v>
      </c>
    </row>
    <row r="682" spans="1:25" hidden="1" x14ac:dyDescent="0.25">
      <c r="A682" t="str">
        <f t="shared" si="10"/>
        <v>2023_SA_Pinery_Fababean_DetailedTOSTOS1VarietyAmberleyWaterTrtIrrigated</v>
      </c>
      <c r="B682">
        <v>2023023</v>
      </c>
      <c r="C682" t="s">
        <v>82</v>
      </c>
      <c r="D682">
        <v>2</v>
      </c>
      <c r="E682" t="s">
        <v>25</v>
      </c>
      <c r="F682" t="s">
        <v>126</v>
      </c>
      <c r="G682" t="s">
        <v>27</v>
      </c>
      <c r="I682">
        <v>1</v>
      </c>
      <c r="J682" t="s">
        <v>83</v>
      </c>
      <c r="K682" s="1">
        <v>45183</v>
      </c>
      <c r="L682">
        <v>24.912499999998701</v>
      </c>
      <c r="M682">
        <v>2.3539346745730501</v>
      </c>
    </row>
    <row r="683" spans="1:25" hidden="1" x14ac:dyDescent="0.25">
      <c r="A683" t="str">
        <f t="shared" si="10"/>
        <v>2023_SA_Pinery_Fababean_DetailedTOSTOS2VarietyAmberleyWaterTrtIrrigated</v>
      </c>
      <c r="B683">
        <v>2023023</v>
      </c>
      <c r="C683" t="s">
        <v>82</v>
      </c>
      <c r="D683">
        <v>2</v>
      </c>
      <c r="E683" t="s">
        <v>25</v>
      </c>
      <c r="F683" t="s">
        <v>126</v>
      </c>
      <c r="G683" t="s">
        <v>27</v>
      </c>
      <c r="I683">
        <v>2</v>
      </c>
      <c r="J683" t="s">
        <v>84</v>
      </c>
      <c r="K683" s="1">
        <v>45183</v>
      </c>
      <c r="L683">
        <v>21.954999999999998</v>
      </c>
      <c r="M683">
        <v>2.3539346745730501</v>
      </c>
    </row>
    <row r="684" spans="1:25" hidden="1" x14ac:dyDescent="0.25">
      <c r="A684" t="str">
        <f t="shared" si="10"/>
        <v>2023_SA_Pinery_Fababean_DetailedTOSTOS1VarietyAmberleyWaterTrtRainFed</v>
      </c>
      <c r="B684">
        <v>2023023</v>
      </c>
      <c r="C684" t="s">
        <v>82</v>
      </c>
      <c r="D684">
        <v>2</v>
      </c>
      <c r="E684" t="s">
        <v>25</v>
      </c>
      <c r="F684" t="s">
        <v>126</v>
      </c>
      <c r="G684" t="s">
        <v>30</v>
      </c>
      <c r="I684">
        <v>1</v>
      </c>
      <c r="J684" t="s">
        <v>83</v>
      </c>
      <c r="K684" s="1">
        <v>45183</v>
      </c>
      <c r="L684">
        <v>24.897499999999798</v>
      </c>
      <c r="M684">
        <v>2.3539346745730501</v>
      </c>
    </row>
    <row r="685" spans="1:25" hidden="1" x14ac:dyDescent="0.25">
      <c r="A685" t="str">
        <f t="shared" si="10"/>
        <v>2023_SA_Pinery_Fababean_DetailedTOSTOS2VarietyAmberleyWaterTrtRainFed</v>
      </c>
      <c r="B685">
        <v>2023023</v>
      </c>
      <c r="C685" t="s">
        <v>82</v>
      </c>
      <c r="D685">
        <v>2</v>
      </c>
      <c r="E685" t="s">
        <v>25</v>
      </c>
      <c r="F685" t="s">
        <v>126</v>
      </c>
      <c r="G685" t="s">
        <v>30</v>
      </c>
      <c r="I685">
        <v>2</v>
      </c>
      <c r="J685" t="s">
        <v>84</v>
      </c>
      <c r="K685" s="1">
        <v>45183</v>
      </c>
      <c r="L685">
        <v>20.9849999999999</v>
      </c>
      <c r="M685">
        <v>2.3539346745730598</v>
      </c>
    </row>
    <row r="686" spans="1:25" hidden="1" x14ac:dyDescent="0.25">
      <c r="A686" t="str">
        <f t="shared" si="10"/>
        <v>2023_SA_Pinery_Fababean_DetailedTOSTOS1VarietyMarneWaterTrtIrrigated</v>
      </c>
      <c r="B686">
        <v>2023023</v>
      </c>
      <c r="C686" t="s">
        <v>82</v>
      </c>
      <c r="D686">
        <v>2</v>
      </c>
      <c r="E686" t="s">
        <v>25</v>
      </c>
      <c r="F686" t="s">
        <v>127</v>
      </c>
      <c r="G686" t="s">
        <v>27</v>
      </c>
      <c r="I686">
        <v>1</v>
      </c>
      <c r="J686" t="s">
        <v>83</v>
      </c>
      <c r="K686" s="1">
        <v>45183</v>
      </c>
      <c r="L686">
        <v>25.43</v>
      </c>
      <c r="M686">
        <v>2.3539346745730501</v>
      </c>
    </row>
    <row r="687" spans="1:25" hidden="1" x14ac:dyDescent="0.25">
      <c r="A687" t="str">
        <f t="shared" si="10"/>
        <v>2023_SA_Pinery_Fababean_DetailedTOSTOS2VarietyMarneWaterTrtIrrigated</v>
      </c>
      <c r="B687">
        <v>2023023</v>
      </c>
      <c r="C687" t="s">
        <v>82</v>
      </c>
      <c r="D687">
        <v>2</v>
      </c>
      <c r="E687" t="s">
        <v>25</v>
      </c>
      <c r="F687" t="s">
        <v>127</v>
      </c>
      <c r="G687" t="s">
        <v>27</v>
      </c>
      <c r="I687">
        <v>2</v>
      </c>
      <c r="J687" t="s">
        <v>84</v>
      </c>
      <c r="K687" s="1">
        <v>45183</v>
      </c>
      <c r="L687">
        <v>22.1200000000001</v>
      </c>
      <c r="M687">
        <v>2.3539346745730598</v>
      </c>
    </row>
    <row r="688" spans="1:25" hidden="1" x14ac:dyDescent="0.25">
      <c r="A688" t="str">
        <f t="shared" si="10"/>
        <v>2023_SA_Pinery_Fababean_DetailedTOSTOS1VarietyMarneWaterTrtRainFed</v>
      </c>
      <c r="B688">
        <v>2023023</v>
      </c>
      <c r="C688" t="s">
        <v>82</v>
      </c>
      <c r="D688">
        <v>2</v>
      </c>
      <c r="E688" t="s">
        <v>25</v>
      </c>
      <c r="F688" t="s">
        <v>127</v>
      </c>
      <c r="G688" t="s">
        <v>30</v>
      </c>
      <c r="I688">
        <v>1</v>
      </c>
      <c r="J688" t="s">
        <v>83</v>
      </c>
      <c r="K688" s="1">
        <v>45183</v>
      </c>
      <c r="L688">
        <v>27.270000000000099</v>
      </c>
      <c r="M688">
        <v>2.3539346745730598</v>
      </c>
    </row>
    <row r="689" spans="1:13" hidden="1" x14ac:dyDescent="0.25">
      <c r="A689" t="str">
        <f t="shared" si="10"/>
        <v>2023_SA_Pinery_Fababean_DetailedTOSTOS2VarietyMarneWaterTrtRainFed</v>
      </c>
      <c r="B689">
        <v>2023023</v>
      </c>
      <c r="C689" t="s">
        <v>82</v>
      </c>
      <c r="D689">
        <v>2</v>
      </c>
      <c r="E689" t="s">
        <v>25</v>
      </c>
      <c r="F689" t="s">
        <v>127</v>
      </c>
      <c r="G689" t="s">
        <v>30</v>
      </c>
      <c r="I689">
        <v>2</v>
      </c>
      <c r="J689" t="s">
        <v>84</v>
      </c>
      <c r="K689" s="1">
        <v>45183</v>
      </c>
      <c r="L689">
        <v>24.664999999999999</v>
      </c>
      <c r="M689">
        <v>2.3539346745730501</v>
      </c>
    </row>
    <row r="690" spans="1:13" hidden="1" x14ac:dyDescent="0.25">
      <c r="A690" t="str">
        <f t="shared" si="10"/>
        <v>2023_SA_Pinery_Fababean_DetailedTOSTOS1VarietyNasmaWaterTrtIrrigated</v>
      </c>
      <c r="B690">
        <v>2023023</v>
      </c>
      <c r="C690" t="s">
        <v>82</v>
      </c>
      <c r="D690">
        <v>2</v>
      </c>
      <c r="E690" t="s">
        <v>25</v>
      </c>
      <c r="F690" t="s">
        <v>128</v>
      </c>
      <c r="G690" t="s">
        <v>27</v>
      </c>
      <c r="I690">
        <v>1</v>
      </c>
      <c r="J690" t="s">
        <v>83</v>
      </c>
      <c r="K690" s="1">
        <v>45183</v>
      </c>
      <c r="L690">
        <v>17.252500000000001</v>
      </c>
      <c r="M690">
        <v>2.3539346745730501</v>
      </c>
    </row>
    <row r="691" spans="1:13" hidden="1" x14ac:dyDescent="0.25">
      <c r="A691" t="str">
        <f t="shared" si="10"/>
        <v>2023_SA_Pinery_Fababean_DetailedTOSTOS2VarietyNasmaWaterTrtIrrigated</v>
      </c>
      <c r="B691">
        <v>2023023</v>
      </c>
      <c r="C691" t="s">
        <v>82</v>
      </c>
      <c r="D691">
        <v>2</v>
      </c>
      <c r="E691" t="s">
        <v>25</v>
      </c>
      <c r="F691" t="s">
        <v>128</v>
      </c>
      <c r="G691" t="s">
        <v>27</v>
      </c>
      <c r="I691">
        <v>2</v>
      </c>
      <c r="J691" t="s">
        <v>84</v>
      </c>
      <c r="K691" s="1">
        <v>45183</v>
      </c>
      <c r="L691">
        <v>15.937500000000099</v>
      </c>
      <c r="M691">
        <v>2.3539346745730598</v>
      </c>
    </row>
    <row r="692" spans="1:13" hidden="1" x14ac:dyDescent="0.25">
      <c r="A692" t="str">
        <f t="shared" si="10"/>
        <v>2023_SA_Pinery_Fababean_DetailedTOSTOS1VarietyNasmaWaterTrtRainFed</v>
      </c>
      <c r="B692">
        <v>2023023</v>
      </c>
      <c r="C692" t="s">
        <v>82</v>
      </c>
      <c r="D692">
        <v>2</v>
      </c>
      <c r="E692" t="s">
        <v>25</v>
      </c>
      <c r="F692" t="s">
        <v>128</v>
      </c>
      <c r="G692" t="s">
        <v>30</v>
      </c>
      <c r="I692">
        <v>1</v>
      </c>
      <c r="J692" t="s">
        <v>83</v>
      </c>
      <c r="K692" s="1">
        <v>45183</v>
      </c>
      <c r="L692">
        <v>20.475000000000101</v>
      </c>
      <c r="M692">
        <v>2.3539346745730598</v>
      </c>
    </row>
    <row r="693" spans="1:13" hidden="1" x14ac:dyDescent="0.25">
      <c r="A693" t="str">
        <f t="shared" si="10"/>
        <v>2023_SA_Pinery_Fababean_DetailedTOSTOS2VarietyNasmaWaterTrtRainFed</v>
      </c>
      <c r="B693">
        <v>2023023</v>
      </c>
      <c r="C693" t="s">
        <v>82</v>
      </c>
      <c r="D693">
        <v>2</v>
      </c>
      <c r="E693" t="s">
        <v>25</v>
      </c>
      <c r="F693" t="s">
        <v>128</v>
      </c>
      <c r="G693" t="s">
        <v>30</v>
      </c>
      <c r="I693">
        <v>2</v>
      </c>
      <c r="J693" t="s">
        <v>84</v>
      </c>
      <c r="K693" s="1">
        <v>45183</v>
      </c>
      <c r="L693">
        <v>19.664999999999999</v>
      </c>
      <c r="M693">
        <v>2.3539346745730501</v>
      </c>
    </row>
    <row r="694" spans="1:13" hidden="1" x14ac:dyDescent="0.25">
      <c r="A694" t="str">
        <f t="shared" si="10"/>
        <v>2023_SA_Pinery_Fababean_DetailedTOSTOS1VarietySamiraWaterTrtIrrigated</v>
      </c>
      <c r="B694">
        <v>2023023</v>
      </c>
      <c r="C694" t="s">
        <v>82</v>
      </c>
      <c r="D694">
        <v>2</v>
      </c>
      <c r="E694" t="s">
        <v>25</v>
      </c>
      <c r="F694" t="s">
        <v>129</v>
      </c>
      <c r="G694" t="s">
        <v>27</v>
      </c>
      <c r="I694">
        <v>1</v>
      </c>
      <c r="J694" t="s">
        <v>83</v>
      </c>
      <c r="K694" s="1">
        <v>45183</v>
      </c>
      <c r="L694">
        <v>17.8325</v>
      </c>
      <c r="M694">
        <v>2.3539346745730501</v>
      </c>
    </row>
    <row r="695" spans="1:13" hidden="1" x14ac:dyDescent="0.25">
      <c r="A695" t="str">
        <f t="shared" si="10"/>
        <v>2023_SA_Pinery_Fababean_DetailedTOSTOS2VarietySamiraWaterTrtIrrigated</v>
      </c>
      <c r="B695">
        <v>2023023</v>
      </c>
      <c r="C695" t="s">
        <v>82</v>
      </c>
      <c r="D695">
        <v>2</v>
      </c>
      <c r="E695" t="s">
        <v>25</v>
      </c>
      <c r="F695" t="s">
        <v>129</v>
      </c>
      <c r="G695" t="s">
        <v>27</v>
      </c>
      <c r="I695">
        <v>2</v>
      </c>
      <c r="J695" t="s">
        <v>84</v>
      </c>
      <c r="K695" s="1">
        <v>45183</v>
      </c>
      <c r="L695">
        <v>14.027500000000099</v>
      </c>
      <c r="M695">
        <v>2.3539346745730598</v>
      </c>
    </row>
    <row r="696" spans="1:13" hidden="1" x14ac:dyDescent="0.25">
      <c r="A696" t="str">
        <f t="shared" si="10"/>
        <v>2023_SA_Pinery_Fababean_DetailedTOSTOS1VarietySamiraWaterTrtRainFed</v>
      </c>
      <c r="B696">
        <v>2023023</v>
      </c>
      <c r="C696" t="s">
        <v>82</v>
      </c>
      <c r="D696">
        <v>2</v>
      </c>
      <c r="E696" t="s">
        <v>25</v>
      </c>
      <c r="F696" t="s">
        <v>129</v>
      </c>
      <c r="G696" t="s">
        <v>30</v>
      </c>
      <c r="I696">
        <v>1</v>
      </c>
      <c r="J696" t="s">
        <v>83</v>
      </c>
      <c r="K696" s="1">
        <v>45183</v>
      </c>
      <c r="L696">
        <v>25.6675000000001</v>
      </c>
      <c r="M696">
        <v>2.3539346745730598</v>
      </c>
    </row>
    <row r="697" spans="1:13" hidden="1" x14ac:dyDescent="0.25">
      <c r="A697" t="str">
        <f t="shared" si="10"/>
        <v>2023_SA_Pinery_Fababean_DetailedTOSTOS2VarietySamiraWaterTrtRainFed</v>
      </c>
      <c r="B697">
        <v>2023023</v>
      </c>
      <c r="C697" t="s">
        <v>82</v>
      </c>
      <c r="D697">
        <v>2</v>
      </c>
      <c r="E697" t="s">
        <v>25</v>
      </c>
      <c r="F697" t="s">
        <v>129</v>
      </c>
      <c r="G697" t="s">
        <v>30</v>
      </c>
      <c r="I697">
        <v>2</v>
      </c>
      <c r="J697" t="s">
        <v>84</v>
      </c>
      <c r="K697" s="1">
        <v>45183</v>
      </c>
      <c r="L697">
        <v>23.004999999999999</v>
      </c>
      <c r="M697">
        <v>2.3539346745730598</v>
      </c>
    </row>
    <row r="698" spans="1:13" hidden="1" x14ac:dyDescent="0.25">
      <c r="A698" t="str">
        <f t="shared" si="10"/>
        <v>2023_SA_Pinery_Fababean_DetailedTOSTOS1VarietyAmberleyWaterTrtIrrigated</v>
      </c>
      <c r="B698">
        <v>2023023</v>
      </c>
      <c r="C698" t="s">
        <v>82</v>
      </c>
      <c r="D698">
        <v>3</v>
      </c>
      <c r="E698" t="s">
        <v>31</v>
      </c>
      <c r="F698" t="s">
        <v>126</v>
      </c>
      <c r="G698" t="s">
        <v>27</v>
      </c>
      <c r="I698">
        <v>1</v>
      </c>
      <c r="J698" t="s">
        <v>83</v>
      </c>
      <c r="K698" s="1">
        <v>45118</v>
      </c>
      <c r="L698">
        <v>107.334999999997</v>
      </c>
      <c r="M698">
        <v>10.057754425193799</v>
      </c>
    </row>
    <row r="699" spans="1:13" hidden="1" x14ac:dyDescent="0.25">
      <c r="A699" t="str">
        <f t="shared" si="10"/>
        <v>2023_SA_Pinery_Fababean_DetailedTOSTOS2VarietyAmberleyWaterTrtIrrigated</v>
      </c>
      <c r="B699">
        <v>2023023</v>
      </c>
      <c r="C699" t="s">
        <v>82</v>
      </c>
      <c r="D699">
        <v>3</v>
      </c>
      <c r="E699" t="s">
        <v>31</v>
      </c>
      <c r="F699" t="s">
        <v>126</v>
      </c>
      <c r="G699" t="s">
        <v>27</v>
      </c>
      <c r="I699">
        <v>2</v>
      </c>
      <c r="J699" t="s">
        <v>84</v>
      </c>
      <c r="K699" s="1">
        <v>45166</v>
      </c>
      <c r="L699">
        <v>84.175000000000793</v>
      </c>
      <c r="M699">
        <v>10.0577544251937</v>
      </c>
    </row>
    <row r="700" spans="1:13" hidden="1" x14ac:dyDescent="0.25">
      <c r="A700" t="str">
        <f t="shared" si="10"/>
        <v>2023_SA_Pinery_Fababean_DetailedTOSTOS1VarietyAmberleyWaterTrtRainFed</v>
      </c>
      <c r="B700">
        <v>2023023</v>
      </c>
      <c r="C700" t="s">
        <v>82</v>
      </c>
      <c r="D700">
        <v>3</v>
      </c>
      <c r="E700" t="s">
        <v>31</v>
      </c>
      <c r="F700" t="s">
        <v>126</v>
      </c>
      <c r="G700" t="s">
        <v>30</v>
      </c>
      <c r="I700">
        <v>1</v>
      </c>
      <c r="J700" t="s">
        <v>83</v>
      </c>
      <c r="K700" s="1">
        <v>45118</v>
      </c>
      <c r="L700">
        <v>100.957500000001</v>
      </c>
      <c r="M700">
        <v>10.0577544251937</v>
      </c>
    </row>
    <row r="701" spans="1:13" hidden="1" x14ac:dyDescent="0.25">
      <c r="A701" t="str">
        <f t="shared" si="10"/>
        <v>2023_SA_Pinery_Fababean_DetailedTOSTOS2VarietyAmberleyWaterTrtRainFed</v>
      </c>
      <c r="B701">
        <v>2023023</v>
      </c>
      <c r="C701" t="s">
        <v>82</v>
      </c>
      <c r="D701">
        <v>3</v>
      </c>
      <c r="E701" t="s">
        <v>31</v>
      </c>
      <c r="F701" t="s">
        <v>126</v>
      </c>
      <c r="G701" t="s">
        <v>30</v>
      </c>
      <c r="I701">
        <v>2</v>
      </c>
      <c r="J701" t="s">
        <v>84</v>
      </c>
      <c r="K701" s="1">
        <v>45166</v>
      </c>
      <c r="L701">
        <v>82.954999999999799</v>
      </c>
      <c r="M701">
        <v>10.057754425193799</v>
      </c>
    </row>
    <row r="702" spans="1:13" hidden="1" x14ac:dyDescent="0.25">
      <c r="A702" t="str">
        <f t="shared" si="10"/>
        <v>2023_SA_Pinery_Fababean_DetailedTOSTOS1VarietyMarneWaterTrtIrrigated</v>
      </c>
      <c r="B702">
        <v>2023023</v>
      </c>
      <c r="C702" t="s">
        <v>82</v>
      </c>
      <c r="D702">
        <v>3</v>
      </c>
      <c r="E702" t="s">
        <v>31</v>
      </c>
      <c r="F702" t="s">
        <v>127</v>
      </c>
      <c r="G702" t="s">
        <v>27</v>
      </c>
      <c r="I702">
        <v>1</v>
      </c>
      <c r="J702" t="s">
        <v>83</v>
      </c>
      <c r="K702" s="1">
        <v>45118</v>
      </c>
      <c r="L702">
        <v>101.8475</v>
      </c>
      <c r="M702">
        <v>10.057754425193799</v>
      </c>
    </row>
    <row r="703" spans="1:13" hidden="1" x14ac:dyDescent="0.25">
      <c r="A703" t="str">
        <f t="shared" si="10"/>
        <v>2023_SA_Pinery_Fababean_DetailedTOSTOS2VarietyMarneWaterTrtIrrigated</v>
      </c>
      <c r="B703">
        <v>2023023</v>
      </c>
      <c r="C703" t="s">
        <v>82</v>
      </c>
      <c r="D703">
        <v>3</v>
      </c>
      <c r="E703" t="s">
        <v>31</v>
      </c>
      <c r="F703" t="s">
        <v>127</v>
      </c>
      <c r="G703" t="s">
        <v>27</v>
      </c>
      <c r="I703">
        <v>2</v>
      </c>
      <c r="J703" t="s">
        <v>84</v>
      </c>
      <c r="K703" s="1">
        <v>45166</v>
      </c>
      <c r="L703">
        <v>90.81</v>
      </c>
      <c r="M703">
        <v>10.0577544251937</v>
      </c>
    </row>
    <row r="704" spans="1:13" hidden="1" x14ac:dyDescent="0.25">
      <c r="A704" t="str">
        <f t="shared" si="10"/>
        <v>2023_SA_Pinery_Fababean_DetailedTOSTOS1VarietyMarneWaterTrtRainFed</v>
      </c>
      <c r="B704">
        <v>2023023</v>
      </c>
      <c r="C704" t="s">
        <v>82</v>
      </c>
      <c r="D704">
        <v>3</v>
      </c>
      <c r="E704" t="s">
        <v>31</v>
      </c>
      <c r="F704" t="s">
        <v>127</v>
      </c>
      <c r="G704" t="s">
        <v>30</v>
      </c>
      <c r="I704">
        <v>1</v>
      </c>
      <c r="J704" t="s">
        <v>83</v>
      </c>
      <c r="K704" s="1">
        <v>45118</v>
      </c>
      <c r="L704">
        <v>103.25749999999999</v>
      </c>
      <c r="M704">
        <v>10.057754425193799</v>
      </c>
    </row>
    <row r="705" spans="1:13" hidden="1" x14ac:dyDescent="0.25">
      <c r="A705" t="str">
        <f t="shared" si="10"/>
        <v>2023_SA_Pinery_Fababean_DetailedTOSTOS2VarietyMarneWaterTrtRainFed</v>
      </c>
      <c r="B705">
        <v>2023023</v>
      </c>
      <c r="C705" t="s">
        <v>82</v>
      </c>
      <c r="D705">
        <v>3</v>
      </c>
      <c r="E705" t="s">
        <v>31</v>
      </c>
      <c r="F705" t="s">
        <v>127</v>
      </c>
      <c r="G705" t="s">
        <v>30</v>
      </c>
      <c r="I705">
        <v>2</v>
      </c>
      <c r="J705" t="s">
        <v>84</v>
      </c>
      <c r="K705" s="1">
        <v>45166</v>
      </c>
      <c r="L705">
        <v>87.114999999999995</v>
      </c>
      <c r="M705">
        <v>10.057754425193799</v>
      </c>
    </row>
    <row r="706" spans="1:13" hidden="1" x14ac:dyDescent="0.25">
      <c r="A706" t="str">
        <f t="shared" si="10"/>
        <v>2023_SA_Pinery_Fababean_DetailedTOSTOS1VarietyNasmaWaterTrtIrrigated</v>
      </c>
      <c r="B706">
        <v>2023023</v>
      </c>
      <c r="C706" t="s">
        <v>82</v>
      </c>
      <c r="D706">
        <v>3</v>
      </c>
      <c r="E706" t="s">
        <v>31</v>
      </c>
      <c r="F706" t="s">
        <v>128</v>
      </c>
      <c r="G706" t="s">
        <v>27</v>
      </c>
      <c r="I706">
        <v>1</v>
      </c>
      <c r="J706" t="s">
        <v>83</v>
      </c>
      <c r="K706" s="1">
        <v>45118</v>
      </c>
      <c r="L706">
        <v>83.694999999999993</v>
      </c>
      <c r="M706">
        <v>10.057754425193799</v>
      </c>
    </row>
    <row r="707" spans="1:13" hidden="1" x14ac:dyDescent="0.25">
      <c r="A707" t="str">
        <f t="shared" ref="A707:A770" si="11">C707&amp;"TOSTOS"&amp;I707&amp;"Variety"&amp;F707&amp;"WaterTrt"&amp;G707&amp;IF(H707="","","Agronomy"&amp;H707)</f>
        <v>2023_SA_Pinery_Fababean_DetailedTOSTOS2VarietyNasmaWaterTrtIrrigated</v>
      </c>
      <c r="B707">
        <v>2023023</v>
      </c>
      <c r="C707" t="s">
        <v>82</v>
      </c>
      <c r="D707">
        <v>3</v>
      </c>
      <c r="E707" t="s">
        <v>31</v>
      </c>
      <c r="F707" t="s">
        <v>128</v>
      </c>
      <c r="G707" t="s">
        <v>27</v>
      </c>
      <c r="I707">
        <v>2</v>
      </c>
      <c r="J707" t="s">
        <v>84</v>
      </c>
      <c r="K707" s="1">
        <v>45166</v>
      </c>
      <c r="L707">
        <v>84.022499999999795</v>
      </c>
      <c r="M707">
        <v>10.0577544251937</v>
      </c>
    </row>
    <row r="708" spans="1:13" hidden="1" x14ac:dyDescent="0.25">
      <c r="A708" t="str">
        <f t="shared" si="11"/>
        <v>2023_SA_Pinery_Fababean_DetailedTOSTOS1VarietyNasmaWaterTrtRainFed</v>
      </c>
      <c r="B708">
        <v>2023023</v>
      </c>
      <c r="C708" t="s">
        <v>82</v>
      </c>
      <c r="D708">
        <v>3</v>
      </c>
      <c r="E708" t="s">
        <v>31</v>
      </c>
      <c r="F708" t="s">
        <v>128</v>
      </c>
      <c r="G708" t="s">
        <v>30</v>
      </c>
      <c r="I708">
        <v>1</v>
      </c>
      <c r="J708" t="s">
        <v>83</v>
      </c>
      <c r="K708" s="1">
        <v>45118</v>
      </c>
      <c r="L708">
        <v>99.459999999999795</v>
      </c>
      <c r="M708">
        <v>10.057754425193799</v>
      </c>
    </row>
    <row r="709" spans="1:13" hidden="1" x14ac:dyDescent="0.25">
      <c r="A709" t="str">
        <f t="shared" si="11"/>
        <v>2023_SA_Pinery_Fababean_DetailedTOSTOS2VarietyNasmaWaterTrtRainFed</v>
      </c>
      <c r="B709">
        <v>2023023</v>
      </c>
      <c r="C709" t="s">
        <v>82</v>
      </c>
      <c r="D709">
        <v>3</v>
      </c>
      <c r="E709" t="s">
        <v>31</v>
      </c>
      <c r="F709" t="s">
        <v>128</v>
      </c>
      <c r="G709" t="s">
        <v>30</v>
      </c>
      <c r="I709">
        <v>2</v>
      </c>
      <c r="J709" t="s">
        <v>84</v>
      </c>
      <c r="K709" s="1">
        <v>45166</v>
      </c>
      <c r="L709">
        <v>70.849999999999994</v>
      </c>
      <c r="M709">
        <v>10.057754425193799</v>
      </c>
    </row>
    <row r="710" spans="1:13" hidden="1" x14ac:dyDescent="0.25">
      <c r="A710" t="str">
        <f t="shared" si="11"/>
        <v>2023_SA_Pinery_Fababean_DetailedTOSTOS1VarietySamiraWaterTrtIrrigated</v>
      </c>
      <c r="B710">
        <v>2023023</v>
      </c>
      <c r="C710" t="s">
        <v>82</v>
      </c>
      <c r="D710">
        <v>3</v>
      </c>
      <c r="E710" t="s">
        <v>31</v>
      </c>
      <c r="F710" t="s">
        <v>129</v>
      </c>
      <c r="G710" t="s">
        <v>27</v>
      </c>
      <c r="I710">
        <v>1</v>
      </c>
      <c r="J710" t="s">
        <v>83</v>
      </c>
      <c r="K710" s="1">
        <v>45118</v>
      </c>
      <c r="L710">
        <v>66.932499999999706</v>
      </c>
      <c r="M710">
        <v>10.057754425193799</v>
      </c>
    </row>
    <row r="711" spans="1:13" hidden="1" x14ac:dyDescent="0.25">
      <c r="A711" t="str">
        <f t="shared" si="11"/>
        <v>2023_SA_Pinery_Fababean_DetailedTOSTOS2VarietySamiraWaterTrtIrrigated</v>
      </c>
      <c r="B711">
        <v>2023023</v>
      </c>
      <c r="C711" t="s">
        <v>82</v>
      </c>
      <c r="D711">
        <v>3</v>
      </c>
      <c r="E711" t="s">
        <v>31</v>
      </c>
      <c r="F711" t="s">
        <v>129</v>
      </c>
      <c r="G711" t="s">
        <v>27</v>
      </c>
      <c r="I711">
        <v>2</v>
      </c>
      <c r="J711" t="s">
        <v>84</v>
      </c>
      <c r="K711" s="1">
        <v>45166</v>
      </c>
      <c r="L711">
        <v>61.354999999999997</v>
      </c>
      <c r="M711">
        <v>10.0577544251937</v>
      </c>
    </row>
    <row r="712" spans="1:13" hidden="1" x14ac:dyDescent="0.25">
      <c r="A712" t="str">
        <f t="shared" si="11"/>
        <v>2023_SA_Pinery_Fababean_DetailedTOSTOS1VarietySamiraWaterTrtRainFed</v>
      </c>
      <c r="B712">
        <v>2023023</v>
      </c>
      <c r="C712" t="s">
        <v>82</v>
      </c>
      <c r="D712">
        <v>3</v>
      </c>
      <c r="E712" t="s">
        <v>31</v>
      </c>
      <c r="F712" t="s">
        <v>129</v>
      </c>
      <c r="G712" t="s">
        <v>30</v>
      </c>
      <c r="I712">
        <v>1</v>
      </c>
      <c r="J712" t="s">
        <v>83</v>
      </c>
      <c r="K712" s="1">
        <v>45118</v>
      </c>
      <c r="L712">
        <v>74.129999999999896</v>
      </c>
      <c r="M712">
        <v>10.057754425193799</v>
      </c>
    </row>
    <row r="713" spans="1:13" hidden="1" x14ac:dyDescent="0.25">
      <c r="A713" t="str">
        <f t="shared" si="11"/>
        <v>2023_SA_Pinery_Fababean_DetailedTOSTOS2VarietySamiraWaterTrtRainFed</v>
      </c>
      <c r="B713">
        <v>2023023</v>
      </c>
      <c r="C713" t="s">
        <v>82</v>
      </c>
      <c r="D713">
        <v>3</v>
      </c>
      <c r="E713" t="s">
        <v>31</v>
      </c>
      <c r="F713" t="s">
        <v>129</v>
      </c>
      <c r="G713" t="s">
        <v>30</v>
      </c>
      <c r="I713">
        <v>2</v>
      </c>
      <c r="J713" t="s">
        <v>84</v>
      </c>
      <c r="K713" s="1">
        <v>45166</v>
      </c>
      <c r="L713">
        <v>93.445000000000107</v>
      </c>
      <c r="M713">
        <v>10.057754425193799</v>
      </c>
    </row>
    <row r="714" spans="1:13" hidden="1" x14ac:dyDescent="0.25">
      <c r="A714" t="str">
        <f t="shared" si="11"/>
        <v>2023_SA_Pinery_Fababean_DetailedTOSTOS1VarietyAmberleyWaterTrtIrrigated</v>
      </c>
      <c r="B714">
        <v>2023023</v>
      </c>
      <c r="C714" t="s">
        <v>82</v>
      </c>
      <c r="D714">
        <v>4</v>
      </c>
      <c r="E714" t="s">
        <v>32</v>
      </c>
      <c r="F714" t="s">
        <v>126</v>
      </c>
      <c r="G714" t="s">
        <v>27</v>
      </c>
      <c r="I714">
        <v>1</v>
      </c>
      <c r="J714" t="s">
        <v>83</v>
      </c>
      <c r="K714" s="1">
        <v>45132</v>
      </c>
      <c r="L714">
        <v>163.135000000009</v>
      </c>
      <c r="M714">
        <v>26.286465973130198</v>
      </c>
    </row>
    <row r="715" spans="1:13" hidden="1" x14ac:dyDescent="0.25">
      <c r="A715" t="str">
        <f t="shared" si="11"/>
        <v>2023_SA_Pinery_Fababean_DetailedTOSTOS2VarietyAmberleyWaterTrtIrrigated</v>
      </c>
      <c r="B715">
        <v>2023023</v>
      </c>
      <c r="C715" t="s">
        <v>82</v>
      </c>
      <c r="D715">
        <v>4</v>
      </c>
      <c r="E715" t="s">
        <v>32</v>
      </c>
      <c r="F715" t="s">
        <v>126</v>
      </c>
      <c r="G715" t="s">
        <v>27</v>
      </c>
      <c r="I715">
        <v>2</v>
      </c>
      <c r="J715" t="s">
        <v>84</v>
      </c>
      <c r="K715" s="1">
        <v>45188</v>
      </c>
      <c r="L715">
        <v>398.54749999999802</v>
      </c>
      <c r="M715">
        <v>26.286465973129999</v>
      </c>
    </row>
    <row r="716" spans="1:13" hidden="1" x14ac:dyDescent="0.25">
      <c r="A716" t="str">
        <f t="shared" si="11"/>
        <v>2023_SA_Pinery_Fababean_DetailedTOSTOS1VarietyAmberleyWaterTrtRainFed</v>
      </c>
      <c r="B716">
        <v>2023023</v>
      </c>
      <c r="C716" t="s">
        <v>82</v>
      </c>
      <c r="D716">
        <v>4</v>
      </c>
      <c r="E716" t="s">
        <v>32</v>
      </c>
      <c r="F716" t="s">
        <v>126</v>
      </c>
      <c r="G716" t="s">
        <v>30</v>
      </c>
      <c r="I716">
        <v>1</v>
      </c>
      <c r="J716" t="s">
        <v>83</v>
      </c>
      <c r="K716" s="1">
        <v>45132</v>
      </c>
      <c r="L716">
        <v>231.06499999999801</v>
      </c>
      <c r="M716">
        <v>26.286465973130099</v>
      </c>
    </row>
    <row r="717" spans="1:13" hidden="1" x14ac:dyDescent="0.25">
      <c r="A717" t="str">
        <f t="shared" si="11"/>
        <v>2023_SA_Pinery_Fababean_DetailedTOSTOS2VarietyAmberleyWaterTrtRainFed</v>
      </c>
      <c r="B717">
        <v>2023023</v>
      </c>
      <c r="C717" t="s">
        <v>82</v>
      </c>
      <c r="D717">
        <v>4</v>
      </c>
      <c r="E717" t="s">
        <v>32</v>
      </c>
      <c r="F717" t="s">
        <v>126</v>
      </c>
      <c r="G717" t="s">
        <v>30</v>
      </c>
      <c r="I717">
        <v>2</v>
      </c>
      <c r="J717" t="s">
        <v>84</v>
      </c>
      <c r="K717" s="1">
        <v>45188</v>
      </c>
      <c r="L717">
        <v>321.54250000000098</v>
      </c>
      <c r="M717">
        <v>26.286465973130099</v>
      </c>
    </row>
    <row r="718" spans="1:13" hidden="1" x14ac:dyDescent="0.25">
      <c r="A718" t="str">
        <f t="shared" si="11"/>
        <v>2023_SA_Pinery_Fababean_DetailedTOSTOS1VarietyMarneWaterTrtIrrigated</v>
      </c>
      <c r="B718">
        <v>2023023</v>
      </c>
      <c r="C718" t="s">
        <v>82</v>
      </c>
      <c r="D718">
        <v>4</v>
      </c>
      <c r="E718" t="s">
        <v>32</v>
      </c>
      <c r="F718" t="s">
        <v>127</v>
      </c>
      <c r="G718" t="s">
        <v>27</v>
      </c>
      <c r="I718">
        <v>1</v>
      </c>
      <c r="J718" t="s">
        <v>83</v>
      </c>
      <c r="K718" s="1">
        <v>45132</v>
      </c>
      <c r="L718">
        <v>188.40750000000199</v>
      </c>
      <c r="M718">
        <v>26.286465973130198</v>
      </c>
    </row>
    <row r="719" spans="1:13" hidden="1" x14ac:dyDescent="0.25">
      <c r="A719" t="str">
        <f t="shared" si="11"/>
        <v>2023_SA_Pinery_Fababean_DetailedTOSTOS2VarietyMarneWaterTrtIrrigated</v>
      </c>
      <c r="B719">
        <v>2023023</v>
      </c>
      <c r="C719" t="s">
        <v>82</v>
      </c>
      <c r="D719">
        <v>4</v>
      </c>
      <c r="E719" t="s">
        <v>32</v>
      </c>
      <c r="F719" t="s">
        <v>127</v>
      </c>
      <c r="G719" t="s">
        <v>27</v>
      </c>
      <c r="I719">
        <v>2</v>
      </c>
      <c r="J719" t="s">
        <v>84</v>
      </c>
      <c r="K719" s="1">
        <v>45188</v>
      </c>
      <c r="L719">
        <v>338.77749999999799</v>
      </c>
      <c r="M719">
        <v>26.286465973129999</v>
      </c>
    </row>
    <row r="720" spans="1:13" hidden="1" x14ac:dyDescent="0.25">
      <c r="A720" t="str">
        <f t="shared" si="11"/>
        <v>2023_SA_Pinery_Fababean_DetailedTOSTOS1VarietyMarneWaterTrtRainFed</v>
      </c>
      <c r="B720">
        <v>2023023</v>
      </c>
      <c r="C720" t="s">
        <v>82</v>
      </c>
      <c r="D720">
        <v>4</v>
      </c>
      <c r="E720" t="s">
        <v>32</v>
      </c>
      <c r="F720" t="s">
        <v>127</v>
      </c>
      <c r="G720" t="s">
        <v>30</v>
      </c>
      <c r="I720">
        <v>1</v>
      </c>
      <c r="J720" t="s">
        <v>83</v>
      </c>
      <c r="K720" s="1">
        <v>45132</v>
      </c>
      <c r="L720">
        <v>182.76499999999899</v>
      </c>
      <c r="M720">
        <v>26.286465973130099</v>
      </c>
    </row>
    <row r="721" spans="1:13" hidden="1" x14ac:dyDescent="0.25">
      <c r="A721" t="str">
        <f t="shared" si="11"/>
        <v>2023_SA_Pinery_Fababean_DetailedTOSTOS2VarietyMarneWaterTrtRainFed</v>
      </c>
      <c r="B721">
        <v>2023023</v>
      </c>
      <c r="C721" t="s">
        <v>82</v>
      </c>
      <c r="D721">
        <v>4</v>
      </c>
      <c r="E721" t="s">
        <v>32</v>
      </c>
      <c r="F721" t="s">
        <v>127</v>
      </c>
      <c r="G721" t="s">
        <v>30</v>
      </c>
      <c r="I721">
        <v>2</v>
      </c>
      <c r="J721" t="s">
        <v>84</v>
      </c>
      <c r="K721" s="1">
        <v>45188</v>
      </c>
      <c r="L721">
        <v>358.395000000001</v>
      </c>
      <c r="M721">
        <v>26.286465973130099</v>
      </c>
    </row>
    <row r="722" spans="1:13" hidden="1" x14ac:dyDescent="0.25">
      <c r="A722" t="str">
        <f t="shared" si="11"/>
        <v>2023_SA_Pinery_Fababean_DetailedTOSTOS1VarietyNasmaWaterTrtIrrigated</v>
      </c>
      <c r="B722">
        <v>2023023</v>
      </c>
      <c r="C722" t="s">
        <v>82</v>
      </c>
      <c r="D722">
        <v>4</v>
      </c>
      <c r="E722" t="s">
        <v>32</v>
      </c>
      <c r="F722" t="s">
        <v>128</v>
      </c>
      <c r="G722" t="s">
        <v>27</v>
      </c>
      <c r="I722">
        <v>1</v>
      </c>
      <c r="J722" t="s">
        <v>83</v>
      </c>
      <c r="K722" s="1">
        <v>45132</v>
      </c>
      <c r="L722">
        <v>186.210000000002</v>
      </c>
      <c r="M722">
        <v>26.286465973130198</v>
      </c>
    </row>
    <row r="723" spans="1:13" hidden="1" x14ac:dyDescent="0.25">
      <c r="A723" t="str">
        <f t="shared" si="11"/>
        <v>2023_SA_Pinery_Fababean_DetailedTOSTOS2VarietyNasmaWaterTrtIrrigated</v>
      </c>
      <c r="B723">
        <v>2023023</v>
      </c>
      <c r="C723" t="s">
        <v>82</v>
      </c>
      <c r="D723">
        <v>4</v>
      </c>
      <c r="E723" t="s">
        <v>32</v>
      </c>
      <c r="F723" t="s">
        <v>128</v>
      </c>
      <c r="G723" t="s">
        <v>27</v>
      </c>
      <c r="I723">
        <v>2</v>
      </c>
      <c r="J723" t="s">
        <v>84</v>
      </c>
      <c r="K723" s="1">
        <v>45188</v>
      </c>
      <c r="L723">
        <v>369.74749999999801</v>
      </c>
      <c r="M723">
        <v>26.286465973129999</v>
      </c>
    </row>
    <row r="724" spans="1:13" hidden="1" x14ac:dyDescent="0.25">
      <c r="A724" t="str">
        <f t="shared" si="11"/>
        <v>2023_SA_Pinery_Fababean_DetailedTOSTOS1VarietyNasmaWaterTrtRainFed</v>
      </c>
      <c r="B724">
        <v>2023023</v>
      </c>
      <c r="C724" t="s">
        <v>82</v>
      </c>
      <c r="D724">
        <v>4</v>
      </c>
      <c r="E724" t="s">
        <v>32</v>
      </c>
      <c r="F724" t="s">
        <v>128</v>
      </c>
      <c r="G724" t="s">
        <v>30</v>
      </c>
      <c r="I724">
        <v>1</v>
      </c>
      <c r="J724" t="s">
        <v>83</v>
      </c>
      <c r="K724" s="1">
        <v>45132</v>
      </c>
      <c r="L724">
        <v>184.632499999999</v>
      </c>
      <c r="M724">
        <v>26.286465973130099</v>
      </c>
    </row>
    <row r="725" spans="1:13" hidden="1" x14ac:dyDescent="0.25">
      <c r="A725" t="str">
        <f t="shared" si="11"/>
        <v>2023_SA_Pinery_Fababean_DetailedTOSTOS2VarietyNasmaWaterTrtRainFed</v>
      </c>
      <c r="B725">
        <v>2023023</v>
      </c>
      <c r="C725" t="s">
        <v>82</v>
      </c>
      <c r="D725">
        <v>4</v>
      </c>
      <c r="E725" t="s">
        <v>32</v>
      </c>
      <c r="F725" t="s">
        <v>128</v>
      </c>
      <c r="G725" t="s">
        <v>30</v>
      </c>
      <c r="I725">
        <v>2</v>
      </c>
      <c r="J725" t="s">
        <v>84</v>
      </c>
      <c r="K725" s="1">
        <v>45188</v>
      </c>
      <c r="L725">
        <v>326.76250000000101</v>
      </c>
      <c r="M725">
        <v>26.286465973130099</v>
      </c>
    </row>
    <row r="726" spans="1:13" hidden="1" x14ac:dyDescent="0.25">
      <c r="A726" t="str">
        <f t="shared" si="11"/>
        <v>2023_SA_Pinery_Fababean_DetailedTOSTOS1VarietySamiraWaterTrtIrrigated</v>
      </c>
      <c r="B726">
        <v>2023023</v>
      </c>
      <c r="C726" t="s">
        <v>82</v>
      </c>
      <c r="D726">
        <v>4</v>
      </c>
      <c r="E726" t="s">
        <v>32</v>
      </c>
      <c r="F726" t="s">
        <v>129</v>
      </c>
      <c r="G726" t="s">
        <v>27</v>
      </c>
      <c r="I726">
        <v>1</v>
      </c>
      <c r="J726" t="s">
        <v>83</v>
      </c>
      <c r="K726" s="1">
        <v>45132</v>
      </c>
      <c r="L726">
        <v>176.09250000000301</v>
      </c>
      <c r="M726">
        <v>26.286465973130198</v>
      </c>
    </row>
    <row r="727" spans="1:13" hidden="1" x14ac:dyDescent="0.25">
      <c r="A727" t="str">
        <f t="shared" si="11"/>
        <v>2023_SA_Pinery_Fababean_DetailedTOSTOS2VarietySamiraWaterTrtIrrigated</v>
      </c>
      <c r="B727">
        <v>2023023</v>
      </c>
      <c r="C727" t="s">
        <v>82</v>
      </c>
      <c r="D727">
        <v>4</v>
      </c>
      <c r="E727" t="s">
        <v>32</v>
      </c>
      <c r="F727" t="s">
        <v>129</v>
      </c>
      <c r="G727" t="s">
        <v>27</v>
      </c>
      <c r="I727">
        <v>2</v>
      </c>
      <c r="J727" t="s">
        <v>84</v>
      </c>
      <c r="K727" s="1">
        <v>45188</v>
      </c>
      <c r="L727">
        <v>347.04749999999802</v>
      </c>
      <c r="M727">
        <v>26.286465973129999</v>
      </c>
    </row>
    <row r="728" spans="1:13" hidden="1" x14ac:dyDescent="0.25">
      <c r="A728" t="str">
        <f t="shared" si="11"/>
        <v>2023_SA_Pinery_Fababean_DetailedTOSTOS1VarietySamiraWaterTrtRainFed</v>
      </c>
      <c r="B728">
        <v>2023023</v>
      </c>
      <c r="C728" t="s">
        <v>82</v>
      </c>
      <c r="D728">
        <v>4</v>
      </c>
      <c r="E728" t="s">
        <v>32</v>
      </c>
      <c r="F728" t="s">
        <v>129</v>
      </c>
      <c r="G728" t="s">
        <v>30</v>
      </c>
      <c r="I728">
        <v>1</v>
      </c>
      <c r="J728" t="s">
        <v>83</v>
      </c>
      <c r="K728" s="1">
        <v>45132</v>
      </c>
      <c r="L728">
        <v>183.33499999999901</v>
      </c>
      <c r="M728">
        <v>26.286465973130099</v>
      </c>
    </row>
    <row r="729" spans="1:13" hidden="1" x14ac:dyDescent="0.25">
      <c r="A729" t="str">
        <f t="shared" si="11"/>
        <v>2023_SA_Pinery_Fababean_DetailedTOSTOS2VarietySamiraWaterTrtRainFed</v>
      </c>
      <c r="B729">
        <v>2023023</v>
      </c>
      <c r="C729" t="s">
        <v>82</v>
      </c>
      <c r="D729">
        <v>4</v>
      </c>
      <c r="E729" t="s">
        <v>32</v>
      </c>
      <c r="F729" t="s">
        <v>129</v>
      </c>
      <c r="G729" t="s">
        <v>30</v>
      </c>
      <c r="I729">
        <v>2</v>
      </c>
      <c r="J729" t="s">
        <v>84</v>
      </c>
      <c r="K729" s="1">
        <v>45188</v>
      </c>
      <c r="L729">
        <v>240.5325</v>
      </c>
      <c r="M729">
        <v>26.286465973130099</v>
      </c>
    </row>
    <row r="730" spans="1:13" hidden="1" x14ac:dyDescent="0.25">
      <c r="A730" t="str">
        <f t="shared" si="11"/>
        <v>2023_SA_Pinery_Fababean_DetailedTOSTOS1VarietyAmberleyWaterTrtIrrigated</v>
      </c>
      <c r="B730">
        <v>2023023</v>
      </c>
      <c r="C730" t="s">
        <v>82</v>
      </c>
      <c r="D730">
        <v>5</v>
      </c>
      <c r="E730" t="s">
        <v>33</v>
      </c>
      <c r="F730" t="s">
        <v>126</v>
      </c>
      <c r="G730" t="s">
        <v>27</v>
      </c>
      <c r="I730">
        <v>1</v>
      </c>
      <c r="J730" t="s">
        <v>83</v>
      </c>
      <c r="K730" s="1">
        <v>45174</v>
      </c>
      <c r="L730">
        <v>673.10249999999303</v>
      </c>
      <c r="M730">
        <v>54.2564725589951</v>
      </c>
    </row>
    <row r="731" spans="1:13" hidden="1" x14ac:dyDescent="0.25">
      <c r="A731" t="str">
        <f t="shared" si="11"/>
        <v>2023_SA_Pinery_Fababean_DetailedTOSTOS2VarietyAmberleyWaterTrtIrrigated</v>
      </c>
      <c r="B731">
        <v>2023023</v>
      </c>
      <c r="C731" t="s">
        <v>82</v>
      </c>
      <c r="D731">
        <v>5</v>
      </c>
      <c r="E731" t="s">
        <v>33</v>
      </c>
      <c r="F731" t="s">
        <v>126</v>
      </c>
      <c r="G731" t="s">
        <v>27</v>
      </c>
      <c r="I731">
        <v>2</v>
      </c>
      <c r="J731" t="s">
        <v>84</v>
      </c>
      <c r="K731" s="1">
        <v>45204</v>
      </c>
      <c r="L731">
        <v>411.70249999999697</v>
      </c>
      <c r="M731">
        <v>54.256472558995</v>
      </c>
    </row>
    <row r="732" spans="1:13" hidden="1" x14ac:dyDescent="0.25">
      <c r="A732" t="str">
        <f t="shared" si="11"/>
        <v>2023_SA_Pinery_Fababean_DetailedTOSTOS1VarietyAmberleyWaterTrtRainFed</v>
      </c>
      <c r="B732">
        <v>2023023</v>
      </c>
      <c r="C732" t="s">
        <v>82</v>
      </c>
      <c r="D732">
        <v>5</v>
      </c>
      <c r="E732" t="s">
        <v>33</v>
      </c>
      <c r="F732" t="s">
        <v>126</v>
      </c>
      <c r="G732" t="s">
        <v>30</v>
      </c>
      <c r="I732">
        <v>1</v>
      </c>
      <c r="J732" t="s">
        <v>83</v>
      </c>
      <c r="K732" s="1">
        <v>45174</v>
      </c>
      <c r="L732">
        <v>729.51499999999805</v>
      </c>
      <c r="M732">
        <v>54.2564725589951</v>
      </c>
    </row>
    <row r="733" spans="1:13" hidden="1" x14ac:dyDescent="0.25">
      <c r="A733" t="str">
        <f t="shared" si="11"/>
        <v>2023_SA_Pinery_Fababean_DetailedTOSTOS2VarietyAmberleyWaterTrtRainFed</v>
      </c>
      <c r="B733">
        <v>2023023</v>
      </c>
      <c r="C733" t="s">
        <v>82</v>
      </c>
      <c r="D733">
        <v>5</v>
      </c>
      <c r="E733" t="s">
        <v>33</v>
      </c>
      <c r="F733" t="s">
        <v>126</v>
      </c>
      <c r="G733" t="s">
        <v>30</v>
      </c>
      <c r="I733">
        <v>2</v>
      </c>
      <c r="J733" t="s">
        <v>84</v>
      </c>
      <c r="K733" s="1">
        <v>45204</v>
      </c>
      <c r="L733">
        <v>315.14499999999902</v>
      </c>
      <c r="M733">
        <v>54.256472558995398</v>
      </c>
    </row>
    <row r="734" spans="1:13" hidden="1" x14ac:dyDescent="0.25">
      <c r="A734" t="str">
        <f t="shared" si="11"/>
        <v>2023_SA_Pinery_Fababean_DetailedTOSTOS1VarietyMarneWaterTrtIrrigated</v>
      </c>
      <c r="B734">
        <v>2023023</v>
      </c>
      <c r="C734" t="s">
        <v>82</v>
      </c>
      <c r="D734">
        <v>5</v>
      </c>
      <c r="E734" t="s">
        <v>33</v>
      </c>
      <c r="F734" t="s">
        <v>127</v>
      </c>
      <c r="G734" t="s">
        <v>27</v>
      </c>
      <c r="I734">
        <v>1</v>
      </c>
      <c r="J734" t="s">
        <v>83</v>
      </c>
      <c r="K734" s="1">
        <v>45174</v>
      </c>
      <c r="L734">
        <v>705.27500000000396</v>
      </c>
      <c r="M734">
        <v>54.256472558995398</v>
      </c>
    </row>
    <row r="735" spans="1:13" hidden="1" x14ac:dyDescent="0.25">
      <c r="A735" t="str">
        <f t="shared" si="11"/>
        <v>2023_SA_Pinery_Fababean_DetailedTOSTOS2VarietyMarneWaterTrtIrrigated</v>
      </c>
      <c r="B735">
        <v>2023023</v>
      </c>
      <c r="C735" t="s">
        <v>82</v>
      </c>
      <c r="D735">
        <v>5</v>
      </c>
      <c r="E735" t="s">
        <v>33</v>
      </c>
      <c r="F735" t="s">
        <v>127</v>
      </c>
      <c r="G735" t="s">
        <v>27</v>
      </c>
      <c r="I735">
        <v>2</v>
      </c>
      <c r="J735" t="s">
        <v>84</v>
      </c>
      <c r="K735" s="1">
        <v>45204</v>
      </c>
      <c r="L735">
        <v>414.10750000000002</v>
      </c>
      <c r="M735">
        <v>54.256472558995299</v>
      </c>
    </row>
    <row r="736" spans="1:13" hidden="1" x14ac:dyDescent="0.25">
      <c r="A736" t="str">
        <f t="shared" si="11"/>
        <v>2023_SA_Pinery_Fababean_DetailedTOSTOS1VarietyMarneWaterTrtRainFed</v>
      </c>
      <c r="B736">
        <v>2023023</v>
      </c>
      <c r="C736" t="s">
        <v>82</v>
      </c>
      <c r="D736">
        <v>5</v>
      </c>
      <c r="E736" t="s">
        <v>33</v>
      </c>
      <c r="F736" t="s">
        <v>127</v>
      </c>
      <c r="G736" t="s">
        <v>30</v>
      </c>
      <c r="I736">
        <v>1</v>
      </c>
      <c r="J736" t="s">
        <v>83</v>
      </c>
      <c r="K736" s="1">
        <v>45174</v>
      </c>
      <c r="L736">
        <v>638.53250000000003</v>
      </c>
      <c r="M736">
        <v>54.256472558995299</v>
      </c>
    </row>
    <row r="737" spans="1:25" hidden="1" x14ac:dyDescent="0.25">
      <c r="A737" t="str">
        <f t="shared" si="11"/>
        <v>2023_SA_Pinery_Fababean_DetailedTOSTOS2VarietyMarneWaterTrtRainFed</v>
      </c>
      <c r="B737">
        <v>2023023</v>
      </c>
      <c r="C737" t="s">
        <v>82</v>
      </c>
      <c r="D737">
        <v>5</v>
      </c>
      <c r="E737" t="s">
        <v>33</v>
      </c>
      <c r="F737" t="s">
        <v>127</v>
      </c>
      <c r="G737" t="s">
        <v>30</v>
      </c>
      <c r="I737">
        <v>2</v>
      </c>
      <c r="J737" t="s">
        <v>84</v>
      </c>
      <c r="K737" s="1">
        <v>45204</v>
      </c>
      <c r="L737">
        <v>311.625</v>
      </c>
      <c r="M737">
        <v>54.256472558995299</v>
      </c>
    </row>
    <row r="738" spans="1:25" hidden="1" x14ac:dyDescent="0.25">
      <c r="A738" t="str">
        <f t="shared" si="11"/>
        <v>2023_SA_Pinery_Fababean_DetailedTOSTOS1VarietyNasmaWaterTrtIrrigated</v>
      </c>
      <c r="B738">
        <v>2023023</v>
      </c>
      <c r="C738" t="s">
        <v>82</v>
      </c>
      <c r="D738">
        <v>5</v>
      </c>
      <c r="E738" t="s">
        <v>33</v>
      </c>
      <c r="F738" t="s">
        <v>128</v>
      </c>
      <c r="G738" t="s">
        <v>27</v>
      </c>
      <c r="I738">
        <v>1</v>
      </c>
      <c r="J738" t="s">
        <v>83</v>
      </c>
      <c r="K738" s="1">
        <v>45174</v>
      </c>
      <c r="L738">
        <v>653.70500000000504</v>
      </c>
      <c r="M738">
        <v>54.256472558995398</v>
      </c>
    </row>
    <row r="739" spans="1:25" hidden="1" x14ac:dyDescent="0.25">
      <c r="A739" t="str">
        <f t="shared" si="11"/>
        <v>2023_SA_Pinery_Fababean_DetailedTOSTOS2VarietyNasmaWaterTrtIrrigated</v>
      </c>
      <c r="B739">
        <v>2023023</v>
      </c>
      <c r="C739" t="s">
        <v>82</v>
      </c>
      <c r="D739">
        <v>5</v>
      </c>
      <c r="E739" t="s">
        <v>33</v>
      </c>
      <c r="F739" t="s">
        <v>128</v>
      </c>
      <c r="G739" t="s">
        <v>27</v>
      </c>
      <c r="I739">
        <v>2</v>
      </c>
      <c r="J739" t="s">
        <v>84</v>
      </c>
      <c r="K739" s="1">
        <v>45204</v>
      </c>
      <c r="L739">
        <v>413.13</v>
      </c>
      <c r="M739">
        <v>54.256472558995299</v>
      </c>
    </row>
    <row r="740" spans="1:25" hidden="1" x14ac:dyDescent="0.25">
      <c r="A740" t="str">
        <f t="shared" si="11"/>
        <v>2023_SA_Pinery_Fababean_DetailedTOSTOS1VarietyNasmaWaterTrtRainFed</v>
      </c>
      <c r="B740">
        <v>2023023</v>
      </c>
      <c r="C740" t="s">
        <v>82</v>
      </c>
      <c r="D740">
        <v>5</v>
      </c>
      <c r="E740" t="s">
        <v>33</v>
      </c>
      <c r="F740" t="s">
        <v>128</v>
      </c>
      <c r="G740" t="s">
        <v>30</v>
      </c>
      <c r="I740">
        <v>1</v>
      </c>
      <c r="J740" t="s">
        <v>83</v>
      </c>
      <c r="K740" s="1">
        <v>45174</v>
      </c>
      <c r="L740">
        <v>524.98249999999905</v>
      </c>
      <c r="M740">
        <v>54.256472558995299</v>
      </c>
    </row>
    <row r="741" spans="1:25" hidden="1" x14ac:dyDescent="0.25">
      <c r="A741" t="str">
        <f t="shared" si="11"/>
        <v>2023_SA_Pinery_Fababean_DetailedTOSTOS2VarietyNasmaWaterTrtRainFed</v>
      </c>
      <c r="B741">
        <v>2023023</v>
      </c>
      <c r="C741" t="s">
        <v>82</v>
      </c>
      <c r="D741">
        <v>5</v>
      </c>
      <c r="E741" t="s">
        <v>33</v>
      </c>
      <c r="F741" t="s">
        <v>128</v>
      </c>
      <c r="G741" t="s">
        <v>30</v>
      </c>
      <c r="I741">
        <v>2</v>
      </c>
      <c r="J741" t="s">
        <v>84</v>
      </c>
      <c r="K741" s="1">
        <v>45204</v>
      </c>
      <c r="L741">
        <v>341.88749999999999</v>
      </c>
      <c r="M741">
        <v>54.256472558995299</v>
      </c>
    </row>
    <row r="742" spans="1:25" hidden="1" x14ac:dyDescent="0.25">
      <c r="A742" t="str">
        <f t="shared" si="11"/>
        <v>2023_SA_Pinery_Fababean_DetailedTOSTOS1VarietySamiraWaterTrtIrrigated</v>
      </c>
      <c r="B742">
        <v>2023023</v>
      </c>
      <c r="C742" t="s">
        <v>82</v>
      </c>
      <c r="D742">
        <v>5</v>
      </c>
      <c r="E742" t="s">
        <v>33</v>
      </c>
      <c r="F742" t="s">
        <v>129</v>
      </c>
      <c r="G742" t="s">
        <v>27</v>
      </c>
      <c r="I742">
        <v>1</v>
      </c>
      <c r="J742" t="s">
        <v>83</v>
      </c>
      <c r="K742" s="1">
        <v>45174</v>
      </c>
      <c r="L742">
        <v>613.26000000000397</v>
      </c>
      <c r="M742">
        <v>54.256472558995398</v>
      </c>
    </row>
    <row r="743" spans="1:25" hidden="1" x14ac:dyDescent="0.25">
      <c r="A743" t="str">
        <f t="shared" si="11"/>
        <v>2023_SA_Pinery_Fababean_DetailedTOSTOS2VarietySamiraWaterTrtIrrigated</v>
      </c>
      <c r="B743">
        <v>2023023</v>
      </c>
      <c r="C743" t="s">
        <v>82</v>
      </c>
      <c r="D743">
        <v>5</v>
      </c>
      <c r="E743" t="s">
        <v>33</v>
      </c>
      <c r="F743" t="s">
        <v>129</v>
      </c>
      <c r="G743" t="s">
        <v>27</v>
      </c>
      <c r="I743">
        <v>2</v>
      </c>
      <c r="J743" t="s">
        <v>84</v>
      </c>
      <c r="K743" s="1">
        <v>45204</v>
      </c>
      <c r="L743">
        <v>319.70999999999998</v>
      </c>
      <c r="M743">
        <v>54.256472558995299</v>
      </c>
    </row>
    <row r="744" spans="1:25" hidden="1" x14ac:dyDescent="0.25">
      <c r="A744" t="str">
        <f t="shared" si="11"/>
        <v>2023_SA_Pinery_Fababean_DetailedTOSTOS1VarietySamiraWaterTrtRainFed</v>
      </c>
      <c r="B744">
        <v>2023023</v>
      </c>
      <c r="C744" t="s">
        <v>82</v>
      </c>
      <c r="D744">
        <v>5</v>
      </c>
      <c r="E744" t="s">
        <v>33</v>
      </c>
      <c r="F744" t="s">
        <v>129</v>
      </c>
      <c r="G744" t="s">
        <v>30</v>
      </c>
      <c r="I744">
        <v>1</v>
      </c>
      <c r="J744" t="s">
        <v>83</v>
      </c>
      <c r="K744" s="1">
        <v>45174</v>
      </c>
      <c r="L744">
        <v>676.52249999999901</v>
      </c>
      <c r="M744">
        <v>54.256472558995299</v>
      </c>
    </row>
    <row r="745" spans="1:25" hidden="1" x14ac:dyDescent="0.25">
      <c r="A745" t="str">
        <f t="shared" si="11"/>
        <v>2023_SA_Pinery_Fababean_DetailedTOSTOS2VarietySamiraWaterTrtRainFed</v>
      </c>
      <c r="B745">
        <v>2023023</v>
      </c>
      <c r="C745" t="s">
        <v>82</v>
      </c>
      <c r="D745">
        <v>5</v>
      </c>
      <c r="E745" t="s">
        <v>33</v>
      </c>
      <c r="F745" t="s">
        <v>129</v>
      </c>
      <c r="G745" t="s">
        <v>30</v>
      </c>
      <c r="I745">
        <v>2</v>
      </c>
      <c r="J745" t="s">
        <v>84</v>
      </c>
      <c r="K745" s="1">
        <v>45204</v>
      </c>
      <c r="L745">
        <v>287.58499999999901</v>
      </c>
      <c r="M745">
        <v>54.256472558995299</v>
      </c>
    </row>
    <row r="746" spans="1:25" hidden="1" x14ac:dyDescent="0.25">
      <c r="A746" t="str">
        <f t="shared" si="11"/>
        <v>2023_SA_Pinery_Fababean_DetailedTOSTOS1VarietyAmberleyWaterTrtIrrigated</v>
      </c>
      <c r="B746">
        <v>2023023</v>
      </c>
      <c r="C746" t="s">
        <v>82</v>
      </c>
      <c r="D746">
        <v>6</v>
      </c>
      <c r="E746" t="s">
        <v>34</v>
      </c>
      <c r="F746" t="s">
        <v>126</v>
      </c>
      <c r="G746" t="s">
        <v>27</v>
      </c>
      <c r="I746">
        <v>1</v>
      </c>
      <c r="J746" t="s">
        <v>83</v>
      </c>
      <c r="K746" s="1">
        <v>45217</v>
      </c>
      <c r="L746">
        <v>761.99</v>
      </c>
      <c r="M746">
        <v>67.726915946780196</v>
      </c>
      <c r="N746">
        <v>0.38400000000000001</v>
      </c>
      <c r="O746">
        <v>2.5000000000000001E-2</v>
      </c>
      <c r="P746">
        <v>168</v>
      </c>
      <c r="Q746">
        <v>34</v>
      </c>
      <c r="T746">
        <v>342</v>
      </c>
      <c r="U746">
        <v>66</v>
      </c>
      <c r="V746">
        <v>631.31500000000199</v>
      </c>
      <c r="W746">
        <v>20.785904254069401</v>
      </c>
      <c r="X746">
        <v>279</v>
      </c>
      <c r="Y746">
        <v>42</v>
      </c>
    </row>
    <row r="747" spans="1:25" hidden="1" x14ac:dyDescent="0.25">
      <c r="A747" t="str">
        <f t="shared" si="11"/>
        <v>2023_SA_Pinery_Fababean_DetailedTOSTOS2VarietyAmberleyWaterTrtIrrigated</v>
      </c>
      <c r="B747">
        <v>2023023</v>
      </c>
      <c r="C747" t="s">
        <v>82</v>
      </c>
      <c r="D747">
        <v>6</v>
      </c>
      <c r="E747" t="s">
        <v>34</v>
      </c>
      <c r="F747" t="s">
        <v>126</v>
      </c>
      <c r="G747" t="s">
        <v>27</v>
      </c>
      <c r="I747">
        <v>2</v>
      </c>
      <c r="J747" t="s">
        <v>84</v>
      </c>
      <c r="K747" s="1">
        <v>44968</v>
      </c>
      <c r="L747">
        <v>410.52249999999799</v>
      </c>
      <c r="M747">
        <v>67.726915946779897</v>
      </c>
      <c r="N747">
        <v>0.47199999999999998</v>
      </c>
      <c r="O747">
        <v>0.02</v>
      </c>
      <c r="P747">
        <v>246</v>
      </c>
      <c r="Q747">
        <v>29</v>
      </c>
      <c r="T747">
        <v>383</v>
      </c>
      <c r="U747">
        <v>47</v>
      </c>
      <c r="V747">
        <v>440.50499999999897</v>
      </c>
      <c r="W747">
        <v>20.785904254069401</v>
      </c>
      <c r="X747">
        <v>206</v>
      </c>
      <c r="Y747">
        <v>28</v>
      </c>
    </row>
    <row r="748" spans="1:25" hidden="1" x14ac:dyDescent="0.25">
      <c r="A748" t="str">
        <f t="shared" si="11"/>
        <v>2023_SA_Pinery_Fababean_DetailedTOSTOS1VarietyAmberleyWaterTrtRainFed</v>
      </c>
      <c r="B748">
        <v>2023023</v>
      </c>
      <c r="C748" t="s">
        <v>82</v>
      </c>
      <c r="D748">
        <v>6</v>
      </c>
      <c r="E748" t="s">
        <v>34</v>
      </c>
      <c r="F748" t="s">
        <v>126</v>
      </c>
      <c r="G748" t="s">
        <v>30</v>
      </c>
      <c r="I748">
        <v>1</v>
      </c>
      <c r="J748" t="s">
        <v>83</v>
      </c>
      <c r="K748" s="1">
        <v>45217</v>
      </c>
      <c r="L748">
        <v>656.62749999999699</v>
      </c>
      <c r="M748">
        <v>67.726915946779997</v>
      </c>
      <c r="N748">
        <v>0.41199999999999998</v>
      </c>
      <c r="O748">
        <v>2.5000000000000001E-2</v>
      </c>
      <c r="P748">
        <v>196</v>
      </c>
      <c r="Q748">
        <v>34</v>
      </c>
      <c r="T748">
        <v>407</v>
      </c>
      <c r="U748">
        <v>66</v>
      </c>
      <c r="V748">
        <v>550.68499999999995</v>
      </c>
      <c r="W748">
        <v>20.785904254069401</v>
      </c>
      <c r="X748">
        <v>268</v>
      </c>
      <c r="Y748">
        <v>42</v>
      </c>
    </row>
    <row r="749" spans="1:25" hidden="1" x14ac:dyDescent="0.25">
      <c r="A749" t="str">
        <f t="shared" si="11"/>
        <v>2023_SA_Pinery_Fababean_DetailedTOSTOS2VarietyAmberleyWaterTrtRainFed</v>
      </c>
      <c r="B749">
        <v>2023023</v>
      </c>
      <c r="C749" t="s">
        <v>82</v>
      </c>
      <c r="D749">
        <v>6</v>
      </c>
      <c r="E749" t="s">
        <v>34</v>
      </c>
      <c r="F749" t="s">
        <v>126</v>
      </c>
      <c r="G749" t="s">
        <v>30</v>
      </c>
      <c r="I749">
        <v>2</v>
      </c>
      <c r="J749" t="s">
        <v>84</v>
      </c>
      <c r="K749" s="1">
        <v>44968</v>
      </c>
      <c r="L749">
        <v>324.63750000000101</v>
      </c>
      <c r="M749">
        <v>67.726915946780295</v>
      </c>
      <c r="N749">
        <v>0.433</v>
      </c>
      <c r="O749">
        <v>0.02</v>
      </c>
      <c r="P749">
        <v>191</v>
      </c>
      <c r="Q749">
        <v>29</v>
      </c>
      <c r="T749">
        <v>262</v>
      </c>
      <c r="U749">
        <v>47</v>
      </c>
      <c r="V749">
        <v>439.29750000000001</v>
      </c>
      <c r="W749">
        <v>20.785904254069401</v>
      </c>
      <c r="X749">
        <v>139</v>
      </c>
      <c r="Y749">
        <v>28</v>
      </c>
    </row>
    <row r="750" spans="1:25" hidden="1" x14ac:dyDescent="0.25">
      <c r="A750" t="str">
        <f t="shared" si="11"/>
        <v>2023_SA_Pinery_Fababean_DetailedTOSTOS1VarietyMarneWaterTrtIrrigated</v>
      </c>
      <c r="B750">
        <v>2023023</v>
      </c>
      <c r="C750" t="s">
        <v>82</v>
      </c>
      <c r="D750">
        <v>6</v>
      </c>
      <c r="E750" t="s">
        <v>34</v>
      </c>
      <c r="F750" t="s">
        <v>127</v>
      </c>
      <c r="G750" t="s">
        <v>27</v>
      </c>
      <c r="I750">
        <v>1</v>
      </c>
      <c r="J750" t="s">
        <v>83</v>
      </c>
      <c r="K750" s="1">
        <v>45217</v>
      </c>
      <c r="L750">
        <v>653.31000000000097</v>
      </c>
      <c r="M750">
        <v>67.726915946780196</v>
      </c>
      <c r="N750">
        <v>0.45900000000000002</v>
      </c>
      <c r="O750">
        <v>2.5000000000000001E-2</v>
      </c>
      <c r="P750">
        <v>189</v>
      </c>
      <c r="Q750">
        <v>34</v>
      </c>
      <c r="T750">
        <v>361</v>
      </c>
      <c r="U750">
        <v>66</v>
      </c>
      <c r="V750">
        <v>580.60000000000105</v>
      </c>
      <c r="W750">
        <v>20.785904254069401</v>
      </c>
      <c r="X750">
        <v>297</v>
      </c>
      <c r="Y750">
        <v>42</v>
      </c>
    </row>
    <row r="751" spans="1:25" hidden="1" x14ac:dyDescent="0.25">
      <c r="A751" t="str">
        <f t="shared" si="11"/>
        <v>2023_SA_Pinery_Fababean_DetailedTOSTOS2VarietyMarneWaterTrtIrrigated</v>
      </c>
      <c r="B751">
        <v>2023023</v>
      </c>
      <c r="C751" t="s">
        <v>82</v>
      </c>
      <c r="D751">
        <v>6</v>
      </c>
      <c r="E751" t="s">
        <v>34</v>
      </c>
      <c r="F751" t="s">
        <v>127</v>
      </c>
      <c r="G751" t="s">
        <v>27</v>
      </c>
      <c r="I751">
        <v>2</v>
      </c>
      <c r="J751" t="s">
        <v>84</v>
      </c>
      <c r="K751" s="1">
        <v>44968</v>
      </c>
      <c r="L751">
        <v>339.51499999999999</v>
      </c>
      <c r="M751">
        <v>67.726915946780196</v>
      </c>
      <c r="N751">
        <v>0.52200000000000002</v>
      </c>
      <c r="O751">
        <v>0.02</v>
      </c>
      <c r="P751">
        <v>234</v>
      </c>
      <c r="Q751">
        <v>29</v>
      </c>
      <c r="T751">
        <v>245</v>
      </c>
      <c r="U751">
        <v>47</v>
      </c>
      <c r="V751">
        <v>537.49</v>
      </c>
      <c r="W751">
        <v>20.785904254069401</v>
      </c>
      <c r="X751">
        <v>174</v>
      </c>
      <c r="Y751">
        <v>28</v>
      </c>
    </row>
    <row r="752" spans="1:25" hidden="1" x14ac:dyDescent="0.25">
      <c r="A752" t="str">
        <f t="shared" si="11"/>
        <v>2023_SA_Pinery_Fababean_DetailedTOSTOS1VarietyMarneWaterTrtRainFed</v>
      </c>
      <c r="B752">
        <v>2023023</v>
      </c>
      <c r="C752" t="s">
        <v>82</v>
      </c>
      <c r="D752">
        <v>6</v>
      </c>
      <c r="E752" t="s">
        <v>34</v>
      </c>
      <c r="F752" t="s">
        <v>127</v>
      </c>
      <c r="G752" t="s">
        <v>30</v>
      </c>
      <c r="I752">
        <v>1</v>
      </c>
      <c r="J752" t="s">
        <v>83</v>
      </c>
      <c r="K752" s="1">
        <v>45217</v>
      </c>
      <c r="L752">
        <v>561.57000000000096</v>
      </c>
      <c r="M752">
        <v>67.726915946780196</v>
      </c>
      <c r="N752">
        <v>0.48299999999999998</v>
      </c>
      <c r="O752">
        <v>2.5000000000000001E-2</v>
      </c>
      <c r="P752">
        <v>185</v>
      </c>
      <c r="Q752">
        <v>34</v>
      </c>
      <c r="T752">
        <v>352</v>
      </c>
      <c r="U752">
        <v>66</v>
      </c>
      <c r="V752">
        <v>574.06500000000005</v>
      </c>
      <c r="W752">
        <v>20.785904254069401</v>
      </c>
      <c r="X752">
        <v>267</v>
      </c>
      <c r="Y752">
        <v>42</v>
      </c>
    </row>
    <row r="753" spans="1:25" hidden="1" x14ac:dyDescent="0.25">
      <c r="A753" t="str">
        <f t="shared" si="11"/>
        <v>2023_SA_Pinery_Fababean_DetailedTOSTOS2VarietyMarneWaterTrtRainFed</v>
      </c>
      <c r="B753">
        <v>2023023</v>
      </c>
      <c r="C753" t="s">
        <v>82</v>
      </c>
      <c r="D753">
        <v>6</v>
      </c>
      <c r="E753" t="s">
        <v>34</v>
      </c>
      <c r="F753" t="s">
        <v>127</v>
      </c>
      <c r="G753" t="s">
        <v>30</v>
      </c>
      <c r="I753">
        <v>2</v>
      </c>
      <c r="J753" t="s">
        <v>84</v>
      </c>
      <c r="K753" s="1">
        <v>44968</v>
      </c>
      <c r="L753">
        <v>301.837500000001</v>
      </c>
      <c r="M753">
        <v>67.726915946780196</v>
      </c>
      <c r="N753">
        <v>0.52600000000000002</v>
      </c>
      <c r="O753">
        <v>0.02</v>
      </c>
      <c r="P753">
        <v>204</v>
      </c>
      <c r="Q753">
        <v>29</v>
      </c>
      <c r="T753">
        <v>290</v>
      </c>
      <c r="U753">
        <v>47</v>
      </c>
      <c r="V753">
        <v>458.29</v>
      </c>
      <c r="W753">
        <v>20.785904254069401</v>
      </c>
      <c r="X753">
        <v>160</v>
      </c>
      <c r="Y753">
        <v>28</v>
      </c>
    </row>
    <row r="754" spans="1:25" hidden="1" x14ac:dyDescent="0.25">
      <c r="A754" t="str">
        <f t="shared" si="11"/>
        <v>2023_SA_Pinery_Fababean_DetailedTOSTOS1VarietyNasmaWaterTrtIrrigated</v>
      </c>
      <c r="B754">
        <v>2023023</v>
      </c>
      <c r="C754" t="s">
        <v>82</v>
      </c>
      <c r="D754">
        <v>6</v>
      </c>
      <c r="E754" t="s">
        <v>34</v>
      </c>
      <c r="F754" t="s">
        <v>128</v>
      </c>
      <c r="G754" t="s">
        <v>27</v>
      </c>
      <c r="I754">
        <v>1</v>
      </c>
      <c r="J754" t="s">
        <v>83</v>
      </c>
      <c r="K754" s="1">
        <v>45217</v>
      </c>
      <c r="L754">
        <v>504.99</v>
      </c>
      <c r="M754">
        <v>67.726915946780196</v>
      </c>
      <c r="N754">
        <v>0.496</v>
      </c>
      <c r="O754">
        <v>2.5000000000000001E-2</v>
      </c>
      <c r="P754">
        <v>106</v>
      </c>
      <c r="Q754">
        <v>34</v>
      </c>
      <c r="T754">
        <v>244</v>
      </c>
      <c r="U754">
        <v>66</v>
      </c>
      <c r="V754">
        <v>622.01250000000095</v>
      </c>
      <c r="W754">
        <v>20.785904254069401</v>
      </c>
      <c r="X754">
        <v>254</v>
      </c>
      <c r="Y754">
        <v>42</v>
      </c>
    </row>
    <row r="755" spans="1:25" hidden="1" x14ac:dyDescent="0.25">
      <c r="A755" t="str">
        <f t="shared" si="11"/>
        <v>2023_SA_Pinery_Fababean_DetailedTOSTOS2VarietyNasmaWaterTrtIrrigated</v>
      </c>
      <c r="B755">
        <v>2023023</v>
      </c>
      <c r="C755" t="s">
        <v>82</v>
      </c>
      <c r="D755">
        <v>6</v>
      </c>
      <c r="E755" t="s">
        <v>34</v>
      </c>
      <c r="F755" t="s">
        <v>128</v>
      </c>
      <c r="G755" t="s">
        <v>27</v>
      </c>
      <c r="I755">
        <v>2</v>
      </c>
      <c r="J755" t="s">
        <v>84</v>
      </c>
      <c r="K755" s="1">
        <v>44968</v>
      </c>
      <c r="L755">
        <v>448.79750000000098</v>
      </c>
      <c r="M755">
        <v>67.726915946780196</v>
      </c>
      <c r="N755">
        <v>0.51600000000000001</v>
      </c>
      <c r="O755">
        <v>0.02</v>
      </c>
      <c r="P755">
        <v>182</v>
      </c>
      <c r="Q755">
        <v>29</v>
      </c>
      <c r="T755">
        <v>351</v>
      </c>
      <c r="U755">
        <v>47</v>
      </c>
      <c r="V755">
        <v>541.32749999999999</v>
      </c>
      <c r="W755">
        <v>20.785904254069401</v>
      </c>
      <c r="X755">
        <v>221</v>
      </c>
      <c r="Y755">
        <v>28</v>
      </c>
    </row>
    <row r="756" spans="1:25" hidden="1" x14ac:dyDescent="0.25">
      <c r="A756" t="str">
        <f t="shared" si="11"/>
        <v>2023_SA_Pinery_Fababean_DetailedTOSTOS1VarietyNasmaWaterTrtRainFed</v>
      </c>
      <c r="B756">
        <v>2023023</v>
      </c>
      <c r="C756" t="s">
        <v>82</v>
      </c>
      <c r="D756">
        <v>6</v>
      </c>
      <c r="E756" t="s">
        <v>34</v>
      </c>
      <c r="F756" t="s">
        <v>128</v>
      </c>
      <c r="G756" t="s">
        <v>30</v>
      </c>
      <c r="I756">
        <v>1</v>
      </c>
      <c r="J756" t="s">
        <v>83</v>
      </c>
      <c r="K756" s="1">
        <v>45217</v>
      </c>
      <c r="L756">
        <v>599.70000000000095</v>
      </c>
      <c r="M756">
        <v>67.726915946780196</v>
      </c>
      <c r="N756">
        <v>0.51</v>
      </c>
      <c r="O756">
        <v>2.5000000000000001E-2</v>
      </c>
      <c r="P756">
        <v>151</v>
      </c>
      <c r="Q756">
        <v>34</v>
      </c>
      <c r="T756">
        <v>358</v>
      </c>
      <c r="U756">
        <v>66</v>
      </c>
      <c r="V756">
        <v>591.74749999999904</v>
      </c>
      <c r="W756">
        <v>20.785904254069401</v>
      </c>
      <c r="X756">
        <v>295</v>
      </c>
      <c r="Y756">
        <v>42</v>
      </c>
    </row>
    <row r="757" spans="1:25" hidden="1" x14ac:dyDescent="0.25">
      <c r="A757" t="str">
        <f t="shared" si="11"/>
        <v>2023_SA_Pinery_Fababean_DetailedTOSTOS2VarietyNasmaWaterTrtRainFed</v>
      </c>
      <c r="B757">
        <v>2023023</v>
      </c>
      <c r="C757" t="s">
        <v>82</v>
      </c>
      <c r="D757">
        <v>6</v>
      </c>
      <c r="E757" t="s">
        <v>34</v>
      </c>
      <c r="F757" t="s">
        <v>128</v>
      </c>
      <c r="G757" t="s">
        <v>30</v>
      </c>
      <c r="I757">
        <v>2</v>
      </c>
      <c r="J757" t="s">
        <v>84</v>
      </c>
      <c r="K757" s="1">
        <v>44968</v>
      </c>
      <c r="L757">
        <v>272.185</v>
      </c>
      <c r="M757">
        <v>67.726915946780196</v>
      </c>
      <c r="N757">
        <v>0.51600000000000001</v>
      </c>
      <c r="O757">
        <v>0.02</v>
      </c>
      <c r="P757">
        <v>125</v>
      </c>
      <c r="Q757">
        <v>29</v>
      </c>
      <c r="T757">
        <v>242</v>
      </c>
      <c r="U757">
        <v>47</v>
      </c>
      <c r="V757">
        <v>521.72249999999997</v>
      </c>
      <c r="W757">
        <v>20.785904254069401</v>
      </c>
      <c r="X757">
        <v>153</v>
      </c>
      <c r="Y757">
        <v>28</v>
      </c>
    </row>
    <row r="758" spans="1:25" hidden="1" x14ac:dyDescent="0.25">
      <c r="A758" t="str">
        <f t="shared" si="11"/>
        <v>2023_SA_Pinery_Fababean_DetailedTOSTOS1VarietySamiraWaterTrtIrrigated</v>
      </c>
      <c r="B758">
        <v>2023023</v>
      </c>
      <c r="C758" t="s">
        <v>82</v>
      </c>
      <c r="D758">
        <v>6</v>
      </c>
      <c r="E758" t="s">
        <v>34</v>
      </c>
      <c r="F758" t="s">
        <v>129</v>
      </c>
      <c r="G758" t="s">
        <v>27</v>
      </c>
      <c r="I758">
        <v>1</v>
      </c>
      <c r="J758" t="s">
        <v>83</v>
      </c>
      <c r="K758" s="1">
        <v>45217</v>
      </c>
      <c r="L758">
        <v>554.92250000000001</v>
      </c>
      <c r="M758">
        <v>67.726915946780196</v>
      </c>
      <c r="N758">
        <v>0.40899999999999997</v>
      </c>
      <c r="O758">
        <v>2.5000000000000001E-2</v>
      </c>
      <c r="P758">
        <v>147</v>
      </c>
      <c r="Q758">
        <v>34</v>
      </c>
      <c r="T758">
        <v>300</v>
      </c>
      <c r="U758">
        <v>66</v>
      </c>
      <c r="V758">
        <v>521.46249999999998</v>
      </c>
      <c r="W758">
        <v>20.785904254069401</v>
      </c>
      <c r="X758">
        <v>225</v>
      </c>
      <c r="Y758">
        <v>42</v>
      </c>
    </row>
    <row r="759" spans="1:25" hidden="1" x14ac:dyDescent="0.25">
      <c r="A759" t="str">
        <f t="shared" si="11"/>
        <v>2023_SA_Pinery_Fababean_DetailedTOSTOS2VarietySamiraWaterTrtIrrigated</v>
      </c>
      <c r="B759">
        <v>2023023</v>
      </c>
      <c r="C759" t="s">
        <v>82</v>
      </c>
      <c r="D759">
        <v>6</v>
      </c>
      <c r="E759" t="s">
        <v>34</v>
      </c>
      <c r="F759" t="s">
        <v>129</v>
      </c>
      <c r="G759" t="s">
        <v>27</v>
      </c>
      <c r="I759">
        <v>2</v>
      </c>
      <c r="J759" t="s">
        <v>84</v>
      </c>
      <c r="K759" s="1">
        <v>44968</v>
      </c>
      <c r="L759">
        <v>495.74750000000103</v>
      </c>
      <c r="M759">
        <v>67.726915946780196</v>
      </c>
      <c r="N759">
        <v>0.48599999999999999</v>
      </c>
      <c r="O759">
        <v>0.02</v>
      </c>
      <c r="P759">
        <v>232</v>
      </c>
      <c r="Q759">
        <v>29</v>
      </c>
      <c r="T759">
        <v>427</v>
      </c>
      <c r="U759">
        <v>47</v>
      </c>
      <c r="V759">
        <v>478.35749999999899</v>
      </c>
      <c r="W759">
        <v>20.785904254069401</v>
      </c>
      <c r="X759">
        <v>240</v>
      </c>
      <c r="Y759">
        <v>28</v>
      </c>
    </row>
    <row r="760" spans="1:25" hidden="1" x14ac:dyDescent="0.25">
      <c r="A760" t="str">
        <f t="shared" si="11"/>
        <v>2023_SA_Pinery_Fababean_DetailedTOSTOS1VarietySamiraWaterTrtRainFed</v>
      </c>
      <c r="B760">
        <v>2023023</v>
      </c>
      <c r="C760" t="s">
        <v>82</v>
      </c>
      <c r="D760">
        <v>6</v>
      </c>
      <c r="E760" t="s">
        <v>34</v>
      </c>
      <c r="F760" t="s">
        <v>129</v>
      </c>
      <c r="G760" t="s">
        <v>30</v>
      </c>
      <c r="I760">
        <v>1</v>
      </c>
      <c r="J760" t="s">
        <v>83</v>
      </c>
      <c r="K760" s="1">
        <v>45217</v>
      </c>
      <c r="L760">
        <v>626.520000000001</v>
      </c>
      <c r="M760">
        <v>67.726915946780196</v>
      </c>
      <c r="N760">
        <v>0.42899999999999999</v>
      </c>
      <c r="O760">
        <v>2.5000000000000001E-2</v>
      </c>
      <c r="P760">
        <v>182</v>
      </c>
      <c r="Q760">
        <v>34</v>
      </c>
      <c r="T760">
        <v>396</v>
      </c>
      <c r="U760">
        <v>66</v>
      </c>
      <c r="V760">
        <v>571.55999999999904</v>
      </c>
      <c r="W760">
        <v>20.785904254069401</v>
      </c>
      <c r="X760">
        <v>280</v>
      </c>
      <c r="Y760">
        <v>42</v>
      </c>
    </row>
    <row r="761" spans="1:25" hidden="1" x14ac:dyDescent="0.25">
      <c r="A761" t="str">
        <f t="shared" si="11"/>
        <v>2023_SA_Pinery_Fababean_DetailedTOSTOS2VarietySamiraWaterTrtRainFed</v>
      </c>
      <c r="B761">
        <v>2023023</v>
      </c>
      <c r="C761" t="s">
        <v>82</v>
      </c>
      <c r="D761">
        <v>6</v>
      </c>
      <c r="E761" t="s">
        <v>34</v>
      </c>
      <c r="F761" t="s">
        <v>129</v>
      </c>
      <c r="G761" t="s">
        <v>30</v>
      </c>
      <c r="I761">
        <v>2</v>
      </c>
      <c r="J761" t="s">
        <v>84</v>
      </c>
      <c r="K761" s="1">
        <v>44968</v>
      </c>
      <c r="L761">
        <v>245.75749999999999</v>
      </c>
      <c r="M761">
        <v>67.726915946780196</v>
      </c>
      <c r="N761">
        <v>0.48399999999999999</v>
      </c>
      <c r="O761">
        <v>0.02</v>
      </c>
      <c r="P761">
        <v>92</v>
      </c>
      <c r="Q761">
        <v>29</v>
      </c>
      <c r="T761">
        <v>189</v>
      </c>
      <c r="U761">
        <v>47</v>
      </c>
      <c r="V761">
        <v>438.005</v>
      </c>
      <c r="W761">
        <v>20.785904254069401</v>
      </c>
      <c r="X761">
        <v>107</v>
      </c>
      <c r="Y761">
        <v>28</v>
      </c>
    </row>
    <row r="762" spans="1:25" x14ac:dyDescent="0.25">
      <c r="A762" t="str">
        <f t="shared" si="11"/>
        <v>2023_SA_Pinery_Lentil_DetailedTOSTOS1VarietyBoltWaterTrtIrrigated</v>
      </c>
      <c r="B762">
        <v>2023024</v>
      </c>
      <c r="C762" t="s">
        <v>85</v>
      </c>
      <c r="D762">
        <v>2</v>
      </c>
      <c r="E762" t="s">
        <v>25</v>
      </c>
      <c r="F762" t="s">
        <v>130</v>
      </c>
      <c r="G762" t="s">
        <v>27</v>
      </c>
      <c r="I762">
        <v>1</v>
      </c>
      <c r="J762" t="s">
        <v>83</v>
      </c>
      <c r="K762" s="1">
        <v>45104</v>
      </c>
      <c r="L762">
        <v>16.120000000002701</v>
      </c>
      <c r="M762">
        <v>1.2324374631589801</v>
      </c>
    </row>
    <row r="763" spans="1:25" x14ac:dyDescent="0.25">
      <c r="A763" t="str">
        <f t="shared" si="11"/>
        <v>2023_SA_Pinery_Lentil_DetailedTOSTOS2VarietyBoltWaterTrtIrrigated</v>
      </c>
      <c r="B763">
        <v>2023024</v>
      </c>
      <c r="C763" t="s">
        <v>85</v>
      </c>
      <c r="D763">
        <v>2</v>
      </c>
      <c r="E763" t="s">
        <v>25</v>
      </c>
      <c r="F763" t="s">
        <v>130</v>
      </c>
      <c r="G763" t="s">
        <v>27</v>
      </c>
      <c r="I763">
        <v>2</v>
      </c>
      <c r="J763" t="s">
        <v>84</v>
      </c>
      <c r="K763" s="1">
        <v>45152</v>
      </c>
      <c r="L763">
        <v>11.56</v>
      </c>
      <c r="M763">
        <v>1.2324374631589701</v>
      </c>
    </row>
    <row r="764" spans="1:25" x14ac:dyDescent="0.25">
      <c r="A764" t="str">
        <f t="shared" si="11"/>
        <v>2023_SA_Pinery_Lentil_DetailedTOSTOS1VarietyBoltWaterTrtRainFed</v>
      </c>
      <c r="B764">
        <v>2023024</v>
      </c>
      <c r="C764" t="s">
        <v>85</v>
      </c>
      <c r="D764">
        <v>2</v>
      </c>
      <c r="E764" t="s">
        <v>25</v>
      </c>
      <c r="F764" t="s">
        <v>130</v>
      </c>
      <c r="G764" t="s">
        <v>30</v>
      </c>
      <c r="I764">
        <v>1</v>
      </c>
      <c r="J764" t="s">
        <v>83</v>
      </c>
      <c r="K764" s="1">
        <v>45104</v>
      </c>
      <c r="L764">
        <v>14.7799999999998</v>
      </c>
      <c r="M764">
        <v>1.2324374631589601</v>
      </c>
    </row>
    <row r="765" spans="1:25" x14ac:dyDescent="0.25">
      <c r="A765" t="str">
        <f t="shared" si="11"/>
        <v>2023_SA_Pinery_Lentil_DetailedTOSTOS2VarietyBoltWaterTrtRainFed</v>
      </c>
      <c r="B765">
        <v>2023024</v>
      </c>
      <c r="C765" t="s">
        <v>85</v>
      </c>
      <c r="D765">
        <v>2</v>
      </c>
      <c r="E765" t="s">
        <v>25</v>
      </c>
      <c r="F765" t="s">
        <v>130</v>
      </c>
      <c r="G765" t="s">
        <v>30</v>
      </c>
      <c r="I765">
        <v>2</v>
      </c>
      <c r="J765" t="s">
        <v>84</v>
      </c>
      <c r="K765" s="1">
        <v>45152</v>
      </c>
      <c r="L765">
        <v>13.445000000000499</v>
      </c>
      <c r="M765">
        <v>1.2324374631589701</v>
      </c>
    </row>
    <row r="766" spans="1:25" x14ac:dyDescent="0.25">
      <c r="A766" t="str">
        <f t="shared" si="11"/>
        <v>2023_SA_Pinery_Lentil_DetailedTOSTOS1VarietyHallmarkXTWaterTrtIrrigated</v>
      </c>
      <c r="B766">
        <v>2023024</v>
      </c>
      <c r="C766" t="s">
        <v>85</v>
      </c>
      <c r="D766">
        <v>2</v>
      </c>
      <c r="E766" t="s">
        <v>25</v>
      </c>
      <c r="F766" t="s">
        <v>131</v>
      </c>
      <c r="G766" t="s">
        <v>27</v>
      </c>
      <c r="I766">
        <v>1</v>
      </c>
      <c r="J766" t="s">
        <v>83</v>
      </c>
      <c r="K766" s="1">
        <v>45104</v>
      </c>
      <c r="L766">
        <v>13.927500000000499</v>
      </c>
      <c r="M766">
        <v>1.2324374631589701</v>
      </c>
    </row>
    <row r="767" spans="1:25" x14ac:dyDescent="0.25">
      <c r="A767" t="str">
        <f t="shared" si="11"/>
        <v>2023_SA_Pinery_Lentil_DetailedTOSTOS2VarietyHallmarkXTWaterTrtIrrigated</v>
      </c>
      <c r="B767">
        <v>2023024</v>
      </c>
      <c r="C767" t="s">
        <v>85</v>
      </c>
      <c r="D767">
        <v>2</v>
      </c>
      <c r="E767" t="s">
        <v>25</v>
      </c>
      <c r="F767" t="s">
        <v>131</v>
      </c>
      <c r="G767" t="s">
        <v>27</v>
      </c>
      <c r="I767">
        <v>2</v>
      </c>
      <c r="J767" t="s">
        <v>84</v>
      </c>
      <c r="K767" s="1">
        <v>45152</v>
      </c>
      <c r="L767">
        <v>12.7025000000005</v>
      </c>
      <c r="M767">
        <v>1.2324374631589701</v>
      </c>
    </row>
    <row r="768" spans="1:25" x14ac:dyDescent="0.25">
      <c r="A768" t="str">
        <f t="shared" si="11"/>
        <v>2023_SA_Pinery_Lentil_DetailedTOSTOS1VarietyHallmarkXTWaterTrtRainFed</v>
      </c>
      <c r="B768">
        <v>2023024</v>
      </c>
      <c r="C768" t="s">
        <v>85</v>
      </c>
      <c r="D768">
        <v>2</v>
      </c>
      <c r="E768" t="s">
        <v>25</v>
      </c>
      <c r="F768" t="s">
        <v>131</v>
      </c>
      <c r="G768" t="s">
        <v>30</v>
      </c>
      <c r="I768">
        <v>1</v>
      </c>
      <c r="J768" t="s">
        <v>83</v>
      </c>
      <c r="K768" s="1">
        <v>45104</v>
      </c>
      <c r="L768">
        <v>13.3625000000005</v>
      </c>
      <c r="M768">
        <v>1.2324374631589701</v>
      </c>
    </row>
    <row r="769" spans="1:13" x14ac:dyDescent="0.25">
      <c r="A769" t="str">
        <f t="shared" si="11"/>
        <v>2023_SA_Pinery_Lentil_DetailedTOSTOS2VarietyHallmarkXTWaterTrtRainFed</v>
      </c>
      <c r="B769">
        <v>2023024</v>
      </c>
      <c r="C769" t="s">
        <v>85</v>
      </c>
      <c r="D769">
        <v>2</v>
      </c>
      <c r="E769" t="s">
        <v>25</v>
      </c>
      <c r="F769" t="s">
        <v>131</v>
      </c>
      <c r="G769" t="s">
        <v>30</v>
      </c>
      <c r="I769">
        <v>2</v>
      </c>
      <c r="J769" t="s">
        <v>84</v>
      </c>
      <c r="K769" s="1">
        <v>45152</v>
      </c>
      <c r="L769">
        <v>9.73500000000036</v>
      </c>
      <c r="M769">
        <v>1.2324374631589701</v>
      </c>
    </row>
    <row r="770" spans="1:13" x14ac:dyDescent="0.25">
      <c r="A770" t="str">
        <f t="shared" si="11"/>
        <v>2023_SA_Pinery_Lentil_DetailedTOSTOS1VarietyJumbo2WaterTrtIrrigated</v>
      </c>
      <c r="B770">
        <v>2023024</v>
      </c>
      <c r="C770" t="s">
        <v>85</v>
      </c>
      <c r="D770">
        <v>2</v>
      </c>
      <c r="E770" t="s">
        <v>25</v>
      </c>
      <c r="F770" t="s">
        <v>132</v>
      </c>
      <c r="G770" t="s">
        <v>27</v>
      </c>
      <c r="I770">
        <v>1</v>
      </c>
      <c r="J770" t="s">
        <v>83</v>
      </c>
      <c r="K770" s="1">
        <v>45104</v>
      </c>
      <c r="L770">
        <v>13.785000000000499</v>
      </c>
      <c r="M770">
        <v>1.2324374631589701</v>
      </c>
    </row>
    <row r="771" spans="1:13" x14ac:dyDescent="0.25">
      <c r="A771" t="str">
        <f t="shared" ref="A771:A834" si="12">C771&amp;"TOSTOS"&amp;I771&amp;"Variety"&amp;F771&amp;"WaterTrt"&amp;G771&amp;IF(H771="","","Agronomy"&amp;H771)</f>
        <v>2023_SA_Pinery_Lentil_DetailedTOSTOS2VarietyJumbo2WaterTrtIrrigated</v>
      </c>
      <c r="B771">
        <v>2023024</v>
      </c>
      <c r="C771" t="s">
        <v>85</v>
      </c>
      <c r="D771">
        <v>2</v>
      </c>
      <c r="E771" t="s">
        <v>25</v>
      </c>
      <c r="F771" t="s">
        <v>132</v>
      </c>
      <c r="G771" t="s">
        <v>27</v>
      </c>
      <c r="I771">
        <v>2</v>
      </c>
      <c r="J771" t="s">
        <v>84</v>
      </c>
      <c r="K771" s="1">
        <v>45152</v>
      </c>
      <c r="L771">
        <v>11.580000000000499</v>
      </c>
      <c r="M771">
        <v>1.2324374631589701</v>
      </c>
    </row>
    <row r="772" spans="1:13" x14ac:dyDescent="0.25">
      <c r="A772" t="str">
        <f t="shared" si="12"/>
        <v>2023_SA_Pinery_Lentil_DetailedTOSTOS1VarietyJumbo2WaterTrtRainFed</v>
      </c>
      <c r="B772">
        <v>2023024</v>
      </c>
      <c r="C772" t="s">
        <v>85</v>
      </c>
      <c r="D772">
        <v>2</v>
      </c>
      <c r="E772" t="s">
        <v>25</v>
      </c>
      <c r="F772" t="s">
        <v>132</v>
      </c>
      <c r="G772" t="s">
        <v>30</v>
      </c>
      <c r="I772">
        <v>1</v>
      </c>
      <c r="J772" t="s">
        <v>83</v>
      </c>
      <c r="K772" s="1">
        <v>45104</v>
      </c>
      <c r="L772">
        <v>15.035000000000499</v>
      </c>
      <c r="M772">
        <v>1.2324374631589701</v>
      </c>
    </row>
    <row r="773" spans="1:13" x14ac:dyDescent="0.25">
      <c r="A773" t="str">
        <f t="shared" si="12"/>
        <v>2023_SA_Pinery_Lentil_DetailedTOSTOS2VarietyJumbo2WaterTrtRainFed</v>
      </c>
      <c r="B773">
        <v>2023024</v>
      </c>
      <c r="C773" t="s">
        <v>85</v>
      </c>
      <c r="D773">
        <v>2</v>
      </c>
      <c r="E773" t="s">
        <v>25</v>
      </c>
      <c r="F773" t="s">
        <v>132</v>
      </c>
      <c r="G773" t="s">
        <v>30</v>
      </c>
      <c r="I773">
        <v>2</v>
      </c>
      <c r="J773" t="s">
        <v>84</v>
      </c>
      <c r="K773" s="1">
        <v>45152</v>
      </c>
      <c r="L773">
        <v>9.5925000000003493</v>
      </c>
      <c r="M773">
        <v>1.2324374631589701</v>
      </c>
    </row>
    <row r="774" spans="1:13" x14ac:dyDescent="0.25">
      <c r="A774" t="str">
        <f t="shared" si="12"/>
        <v>2023_SA_Pinery_Lentil_DetailedTOSTOS1VarietyKelpieXTWaterTrtIrrigated</v>
      </c>
      <c r="B774">
        <v>2023024</v>
      </c>
      <c r="C774" t="s">
        <v>85</v>
      </c>
      <c r="D774">
        <v>2</v>
      </c>
      <c r="E774" t="s">
        <v>25</v>
      </c>
      <c r="F774" t="s">
        <v>133</v>
      </c>
      <c r="G774" t="s">
        <v>27</v>
      </c>
      <c r="I774">
        <v>1</v>
      </c>
      <c r="J774" t="s">
        <v>83</v>
      </c>
      <c r="K774" s="1">
        <v>45104</v>
      </c>
      <c r="L774">
        <v>13.5725000000006</v>
      </c>
      <c r="M774">
        <v>1.2324374631589701</v>
      </c>
    </row>
    <row r="775" spans="1:13" x14ac:dyDescent="0.25">
      <c r="A775" t="str">
        <f t="shared" si="12"/>
        <v>2023_SA_Pinery_Lentil_DetailedTOSTOS2VarietyKelpieXTWaterTrtIrrigated</v>
      </c>
      <c r="B775">
        <v>2023024</v>
      </c>
      <c r="C775" t="s">
        <v>85</v>
      </c>
      <c r="D775">
        <v>2</v>
      </c>
      <c r="E775" t="s">
        <v>25</v>
      </c>
      <c r="F775" t="s">
        <v>133</v>
      </c>
      <c r="G775" t="s">
        <v>27</v>
      </c>
      <c r="I775">
        <v>2</v>
      </c>
      <c r="J775" t="s">
        <v>84</v>
      </c>
      <c r="K775" s="1">
        <v>45152</v>
      </c>
      <c r="L775">
        <v>8.4325000000004309</v>
      </c>
      <c r="M775">
        <v>1.2324374631589701</v>
      </c>
    </row>
    <row r="776" spans="1:13" x14ac:dyDescent="0.25">
      <c r="A776" t="str">
        <f t="shared" si="12"/>
        <v>2023_SA_Pinery_Lentil_DetailedTOSTOS1VarietyKelpieXTWaterTrtRainFed</v>
      </c>
      <c r="B776">
        <v>2023024</v>
      </c>
      <c r="C776" t="s">
        <v>85</v>
      </c>
      <c r="D776">
        <v>2</v>
      </c>
      <c r="E776" t="s">
        <v>25</v>
      </c>
      <c r="F776" t="s">
        <v>133</v>
      </c>
      <c r="G776" t="s">
        <v>30</v>
      </c>
      <c r="I776">
        <v>1</v>
      </c>
      <c r="J776" t="s">
        <v>83</v>
      </c>
      <c r="K776" s="1">
        <v>45104</v>
      </c>
      <c r="L776">
        <v>14.805000000000399</v>
      </c>
      <c r="M776">
        <v>1.2324374631589701</v>
      </c>
    </row>
    <row r="777" spans="1:13" x14ac:dyDescent="0.25">
      <c r="A777" t="str">
        <f t="shared" si="12"/>
        <v>2023_SA_Pinery_Lentil_DetailedTOSTOS2VarietyKelpieXTWaterTrtRainFed</v>
      </c>
      <c r="B777">
        <v>2023024</v>
      </c>
      <c r="C777" t="s">
        <v>85</v>
      </c>
      <c r="D777">
        <v>2</v>
      </c>
      <c r="E777" t="s">
        <v>25</v>
      </c>
      <c r="F777" t="s">
        <v>133</v>
      </c>
      <c r="G777" t="s">
        <v>30</v>
      </c>
      <c r="I777">
        <v>2</v>
      </c>
      <c r="J777" t="s">
        <v>84</v>
      </c>
      <c r="K777" s="1">
        <v>45152</v>
      </c>
      <c r="L777">
        <v>9.3750000000003393</v>
      </c>
      <c r="M777">
        <v>1.2324374631589701</v>
      </c>
    </row>
    <row r="778" spans="1:13" x14ac:dyDescent="0.25">
      <c r="A778" t="str">
        <f t="shared" si="12"/>
        <v>2023_SA_Pinery_Lentil_DetailedTOSTOS1VarietyBoltWaterTrtIrrigated</v>
      </c>
      <c r="B778">
        <v>2023024</v>
      </c>
      <c r="C778" t="s">
        <v>85</v>
      </c>
      <c r="D778">
        <v>3</v>
      </c>
      <c r="E778" t="s">
        <v>31</v>
      </c>
      <c r="F778" t="s">
        <v>130</v>
      </c>
      <c r="G778" t="s">
        <v>27</v>
      </c>
      <c r="I778">
        <v>1</v>
      </c>
      <c r="J778" t="s">
        <v>83</v>
      </c>
      <c r="K778" s="1">
        <v>45131</v>
      </c>
      <c r="L778">
        <v>71.760000000011004</v>
      </c>
      <c r="M778">
        <v>6.1976126147810104</v>
      </c>
    </row>
    <row r="779" spans="1:13" x14ac:dyDescent="0.25">
      <c r="A779" t="str">
        <f t="shared" si="12"/>
        <v>2023_SA_Pinery_Lentil_DetailedTOSTOS2VarietyBoltWaterTrtIrrigated</v>
      </c>
      <c r="B779">
        <v>2023024</v>
      </c>
      <c r="C779" t="s">
        <v>85</v>
      </c>
      <c r="D779">
        <v>3</v>
      </c>
      <c r="E779" t="s">
        <v>31</v>
      </c>
      <c r="F779" t="s">
        <v>130</v>
      </c>
      <c r="G779" t="s">
        <v>27</v>
      </c>
      <c r="I779">
        <v>2</v>
      </c>
      <c r="J779" t="s">
        <v>84</v>
      </c>
      <c r="K779" s="1">
        <v>45173</v>
      </c>
      <c r="L779">
        <v>57.434999999998404</v>
      </c>
      <c r="M779">
        <v>6.1976126147811401</v>
      </c>
    </row>
    <row r="780" spans="1:13" x14ac:dyDescent="0.25">
      <c r="A780" t="str">
        <f t="shared" si="12"/>
        <v>2023_SA_Pinery_Lentil_DetailedTOSTOS1VarietyBoltWaterTrtRainFed</v>
      </c>
      <c r="B780">
        <v>2023024</v>
      </c>
      <c r="C780" t="s">
        <v>85</v>
      </c>
      <c r="D780">
        <v>3</v>
      </c>
      <c r="E780" t="s">
        <v>31</v>
      </c>
      <c r="F780" t="s">
        <v>130</v>
      </c>
      <c r="G780" t="s">
        <v>30</v>
      </c>
      <c r="I780">
        <v>1</v>
      </c>
      <c r="J780" t="s">
        <v>83</v>
      </c>
      <c r="K780" s="1">
        <v>45131</v>
      </c>
      <c r="L780">
        <v>60.054999999998302</v>
      </c>
      <c r="M780">
        <v>6.1976126147810797</v>
      </c>
    </row>
    <row r="781" spans="1:13" x14ac:dyDescent="0.25">
      <c r="A781" t="str">
        <f t="shared" si="12"/>
        <v>2023_SA_Pinery_Lentil_DetailedTOSTOS2VarietyBoltWaterTrtRainFed</v>
      </c>
      <c r="B781">
        <v>2023024</v>
      </c>
      <c r="C781" t="s">
        <v>85</v>
      </c>
      <c r="D781">
        <v>3</v>
      </c>
      <c r="E781" t="s">
        <v>31</v>
      </c>
      <c r="F781" t="s">
        <v>130</v>
      </c>
      <c r="G781" t="s">
        <v>30</v>
      </c>
      <c r="I781">
        <v>2</v>
      </c>
      <c r="J781" t="s">
        <v>84</v>
      </c>
      <c r="K781" s="1">
        <v>45173</v>
      </c>
      <c r="L781">
        <v>70.255000000000507</v>
      </c>
      <c r="M781">
        <v>6.19761261478103</v>
      </c>
    </row>
    <row r="782" spans="1:13" x14ac:dyDescent="0.25">
      <c r="A782" t="str">
        <f t="shared" si="12"/>
        <v>2023_SA_Pinery_Lentil_DetailedTOSTOS1VarietyHallmarkXTWaterTrtIrrigated</v>
      </c>
      <c r="B782">
        <v>2023024</v>
      </c>
      <c r="C782" t="s">
        <v>85</v>
      </c>
      <c r="D782">
        <v>3</v>
      </c>
      <c r="E782" t="s">
        <v>31</v>
      </c>
      <c r="F782" t="s">
        <v>131</v>
      </c>
      <c r="G782" t="s">
        <v>27</v>
      </c>
      <c r="I782">
        <v>1</v>
      </c>
      <c r="J782" t="s">
        <v>83</v>
      </c>
      <c r="K782" s="1">
        <v>45131</v>
      </c>
      <c r="L782">
        <v>57.312500000001002</v>
      </c>
      <c r="M782">
        <v>6.19761261478099</v>
      </c>
    </row>
    <row r="783" spans="1:13" x14ac:dyDescent="0.25">
      <c r="A783" t="str">
        <f t="shared" si="12"/>
        <v>2023_SA_Pinery_Lentil_DetailedTOSTOS2VarietyHallmarkXTWaterTrtIrrigated</v>
      </c>
      <c r="B783">
        <v>2023024</v>
      </c>
      <c r="C783" t="s">
        <v>85</v>
      </c>
      <c r="D783">
        <v>3</v>
      </c>
      <c r="E783" t="s">
        <v>31</v>
      </c>
      <c r="F783" t="s">
        <v>131</v>
      </c>
      <c r="G783" t="s">
        <v>27</v>
      </c>
      <c r="I783">
        <v>2</v>
      </c>
      <c r="J783" t="s">
        <v>84</v>
      </c>
      <c r="K783" s="1">
        <v>45173</v>
      </c>
      <c r="L783">
        <v>54.1600000000007</v>
      </c>
      <c r="M783">
        <v>6.1976126147810797</v>
      </c>
    </row>
    <row r="784" spans="1:13" x14ac:dyDescent="0.25">
      <c r="A784" t="str">
        <f t="shared" si="12"/>
        <v>2023_SA_Pinery_Lentil_DetailedTOSTOS1VarietyHallmarkXTWaterTrtRainFed</v>
      </c>
      <c r="B784">
        <v>2023024</v>
      </c>
      <c r="C784" t="s">
        <v>85</v>
      </c>
      <c r="D784">
        <v>3</v>
      </c>
      <c r="E784" t="s">
        <v>31</v>
      </c>
      <c r="F784" t="s">
        <v>131</v>
      </c>
      <c r="G784" t="s">
        <v>30</v>
      </c>
      <c r="I784">
        <v>1</v>
      </c>
      <c r="J784" t="s">
        <v>83</v>
      </c>
      <c r="K784" s="1">
        <v>45131</v>
      </c>
      <c r="L784">
        <v>67.690000000000197</v>
      </c>
      <c r="M784">
        <v>6.1976126147810602</v>
      </c>
    </row>
    <row r="785" spans="1:13" x14ac:dyDescent="0.25">
      <c r="A785" t="str">
        <f t="shared" si="12"/>
        <v>2023_SA_Pinery_Lentil_DetailedTOSTOS2VarietyHallmarkXTWaterTrtRainFed</v>
      </c>
      <c r="B785">
        <v>2023024</v>
      </c>
      <c r="C785" t="s">
        <v>85</v>
      </c>
      <c r="D785">
        <v>3</v>
      </c>
      <c r="E785" t="s">
        <v>31</v>
      </c>
      <c r="F785" t="s">
        <v>131</v>
      </c>
      <c r="G785" t="s">
        <v>30</v>
      </c>
      <c r="I785">
        <v>2</v>
      </c>
      <c r="J785" t="s">
        <v>84</v>
      </c>
      <c r="K785" s="1">
        <v>45173</v>
      </c>
      <c r="L785">
        <v>46.730000000000103</v>
      </c>
      <c r="M785">
        <v>6.1976126147810398</v>
      </c>
    </row>
    <row r="786" spans="1:13" x14ac:dyDescent="0.25">
      <c r="A786" t="str">
        <f t="shared" si="12"/>
        <v>2023_SA_Pinery_Lentil_DetailedTOSTOS1VarietyJumbo2WaterTrtIrrigated</v>
      </c>
      <c r="B786">
        <v>2023024</v>
      </c>
      <c r="C786" t="s">
        <v>85</v>
      </c>
      <c r="D786">
        <v>3</v>
      </c>
      <c r="E786" t="s">
        <v>31</v>
      </c>
      <c r="F786" t="s">
        <v>132</v>
      </c>
      <c r="G786" t="s">
        <v>27</v>
      </c>
      <c r="I786">
        <v>1</v>
      </c>
      <c r="J786" t="s">
        <v>83</v>
      </c>
      <c r="K786" s="1">
        <v>45131</v>
      </c>
      <c r="L786">
        <v>56.747500000000997</v>
      </c>
      <c r="M786">
        <v>6.19761261478099</v>
      </c>
    </row>
    <row r="787" spans="1:13" x14ac:dyDescent="0.25">
      <c r="A787" t="str">
        <f t="shared" si="12"/>
        <v>2023_SA_Pinery_Lentil_DetailedTOSTOS2VarietyJumbo2WaterTrtIrrigated</v>
      </c>
      <c r="B787">
        <v>2023024</v>
      </c>
      <c r="C787" t="s">
        <v>85</v>
      </c>
      <c r="D787">
        <v>3</v>
      </c>
      <c r="E787" t="s">
        <v>31</v>
      </c>
      <c r="F787" t="s">
        <v>132</v>
      </c>
      <c r="G787" t="s">
        <v>27</v>
      </c>
      <c r="I787">
        <v>2</v>
      </c>
      <c r="J787" t="s">
        <v>84</v>
      </c>
      <c r="K787" s="1">
        <v>45173</v>
      </c>
      <c r="L787">
        <v>54.187500000000497</v>
      </c>
      <c r="M787">
        <v>6.1976126147810797</v>
      </c>
    </row>
    <row r="788" spans="1:13" x14ac:dyDescent="0.25">
      <c r="A788" t="str">
        <f t="shared" si="12"/>
        <v>2023_SA_Pinery_Lentil_DetailedTOSTOS1VarietyJumbo2WaterTrtRainFed</v>
      </c>
      <c r="B788">
        <v>2023024</v>
      </c>
      <c r="C788" t="s">
        <v>85</v>
      </c>
      <c r="D788">
        <v>3</v>
      </c>
      <c r="E788" t="s">
        <v>31</v>
      </c>
      <c r="F788" t="s">
        <v>132</v>
      </c>
      <c r="G788" t="s">
        <v>30</v>
      </c>
      <c r="I788">
        <v>1</v>
      </c>
      <c r="J788" t="s">
        <v>83</v>
      </c>
      <c r="K788" s="1">
        <v>45131</v>
      </c>
      <c r="L788">
        <v>70.980000000000203</v>
      </c>
      <c r="M788">
        <v>6.1976126147810504</v>
      </c>
    </row>
    <row r="789" spans="1:13" x14ac:dyDescent="0.25">
      <c r="A789" t="str">
        <f t="shared" si="12"/>
        <v>2023_SA_Pinery_Lentil_DetailedTOSTOS2VarietyJumbo2WaterTrtRainFed</v>
      </c>
      <c r="B789">
        <v>2023024</v>
      </c>
      <c r="C789" t="s">
        <v>85</v>
      </c>
      <c r="D789">
        <v>3</v>
      </c>
      <c r="E789" t="s">
        <v>31</v>
      </c>
      <c r="F789" t="s">
        <v>132</v>
      </c>
      <c r="G789" t="s">
        <v>30</v>
      </c>
      <c r="I789">
        <v>2</v>
      </c>
      <c r="J789" t="s">
        <v>84</v>
      </c>
      <c r="K789" s="1">
        <v>45173</v>
      </c>
      <c r="L789">
        <v>46.787500000000101</v>
      </c>
      <c r="M789">
        <v>6.1976126147810398</v>
      </c>
    </row>
    <row r="790" spans="1:13" x14ac:dyDescent="0.25">
      <c r="A790" t="str">
        <f t="shared" si="12"/>
        <v>2023_SA_Pinery_Lentil_DetailedTOSTOS1VarietyKelpieXTWaterTrtIrrigated</v>
      </c>
      <c r="B790">
        <v>2023024</v>
      </c>
      <c r="C790" t="s">
        <v>85</v>
      </c>
      <c r="D790">
        <v>3</v>
      </c>
      <c r="E790" t="s">
        <v>31</v>
      </c>
      <c r="F790" t="s">
        <v>133</v>
      </c>
      <c r="G790" t="s">
        <v>27</v>
      </c>
      <c r="I790">
        <v>1</v>
      </c>
      <c r="J790" t="s">
        <v>83</v>
      </c>
      <c r="K790" s="1">
        <v>45131</v>
      </c>
      <c r="L790">
        <v>50.382500000001301</v>
      </c>
      <c r="M790">
        <v>6.1976126147809998</v>
      </c>
    </row>
    <row r="791" spans="1:13" x14ac:dyDescent="0.25">
      <c r="A791" t="str">
        <f t="shared" si="12"/>
        <v>2023_SA_Pinery_Lentil_DetailedTOSTOS2VarietyKelpieXTWaterTrtIrrigated</v>
      </c>
      <c r="B791">
        <v>2023024</v>
      </c>
      <c r="C791" t="s">
        <v>85</v>
      </c>
      <c r="D791">
        <v>3</v>
      </c>
      <c r="E791" t="s">
        <v>31</v>
      </c>
      <c r="F791" t="s">
        <v>133</v>
      </c>
      <c r="G791" t="s">
        <v>27</v>
      </c>
      <c r="I791">
        <v>2</v>
      </c>
      <c r="J791" t="s">
        <v>84</v>
      </c>
      <c r="K791" s="1">
        <v>45173</v>
      </c>
      <c r="L791">
        <v>49.025000000000396</v>
      </c>
      <c r="M791">
        <v>6.1976126147810797</v>
      </c>
    </row>
    <row r="792" spans="1:13" x14ac:dyDescent="0.25">
      <c r="A792" t="str">
        <f t="shared" si="12"/>
        <v>2023_SA_Pinery_Lentil_DetailedTOSTOS1VarietyKelpieXTWaterTrtRainFed</v>
      </c>
      <c r="B792">
        <v>2023024</v>
      </c>
      <c r="C792" t="s">
        <v>85</v>
      </c>
      <c r="D792">
        <v>3</v>
      </c>
      <c r="E792" t="s">
        <v>31</v>
      </c>
      <c r="F792" t="s">
        <v>133</v>
      </c>
      <c r="G792" t="s">
        <v>30</v>
      </c>
      <c r="I792">
        <v>1</v>
      </c>
      <c r="J792" t="s">
        <v>83</v>
      </c>
      <c r="K792" s="1">
        <v>45131</v>
      </c>
      <c r="L792">
        <v>61.967500000000101</v>
      </c>
      <c r="M792">
        <v>6.1976126147810602</v>
      </c>
    </row>
    <row r="793" spans="1:13" x14ac:dyDescent="0.25">
      <c r="A793" t="str">
        <f t="shared" si="12"/>
        <v>2023_SA_Pinery_Lentil_DetailedTOSTOS2VarietyKelpieXTWaterTrtRainFed</v>
      </c>
      <c r="B793">
        <v>2023024</v>
      </c>
      <c r="C793" t="s">
        <v>85</v>
      </c>
      <c r="D793">
        <v>3</v>
      </c>
      <c r="E793" t="s">
        <v>31</v>
      </c>
      <c r="F793" t="s">
        <v>133</v>
      </c>
      <c r="G793" t="s">
        <v>30</v>
      </c>
      <c r="I793">
        <v>2</v>
      </c>
      <c r="J793" t="s">
        <v>84</v>
      </c>
      <c r="K793" s="1">
        <v>45173</v>
      </c>
      <c r="L793">
        <v>51.8599999999999</v>
      </c>
      <c r="M793">
        <v>6.1976126147810398</v>
      </c>
    </row>
    <row r="794" spans="1:13" x14ac:dyDescent="0.25">
      <c r="A794" t="str">
        <f t="shared" si="12"/>
        <v>2023_SA_Pinery_Lentil_DetailedTOSTOS1VarietyBoltWaterTrtIrrigated</v>
      </c>
      <c r="B794">
        <v>2023024</v>
      </c>
      <c r="C794" t="s">
        <v>85</v>
      </c>
      <c r="D794">
        <v>4</v>
      </c>
      <c r="E794" t="s">
        <v>32</v>
      </c>
      <c r="F794" t="s">
        <v>130</v>
      </c>
      <c r="G794" t="s">
        <v>27</v>
      </c>
      <c r="I794">
        <v>1</v>
      </c>
      <c r="J794" t="s">
        <v>83</v>
      </c>
      <c r="K794" s="1">
        <v>45152</v>
      </c>
      <c r="L794">
        <v>181.720000000033</v>
      </c>
      <c r="M794">
        <v>15.914602745728599</v>
      </c>
    </row>
    <row r="795" spans="1:13" x14ac:dyDescent="0.25">
      <c r="A795" t="str">
        <f t="shared" si="12"/>
        <v>2023_SA_Pinery_Lentil_DetailedTOSTOS2VarietyBoltWaterTrtIrrigated</v>
      </c>
      <c r="B795">
        <v>2023024</v>
      </c>
      <c r="C795" t="s">
        <v>85</v>
      </c>
      <c r="D795">
        <v>4</v>
      </c>
      <c r="E795" t="s">
        <v>32</v>
      </c>
      <c r="F795" t="s">
        <v>130</v>
      </c>
      <c r="G795" t="s">
        <v>27</v>
      </c>
      <c r="I795">
        <v>2</v>
      </c>
      <c r="J795" t="s">
        <v>84</v>
      </c>
      <c r="K795" s="1">
        <v>45187</v>
      </c>
      <c r="L795">
        <v>170.84499999999599</v>
      </c>
      <c r="M795">
        <v>15.9146027457287</v>
      </c>
    </row>
    <row r="796" spans="1:13" x14ac:dyDescent="0.25">
      <c r="A796" t="str">
        <f t="shared" si="12"/>
        <v>2023_SA_Pinery_Lentil_DetailedTOSTOS1VarietyBoltWaterTrtRainFed</v>
      </c>
      <c r="B796">
        <v>2023024</v>
      </c>
      <c r="C796" t="s">
        <v>85</v>
      </c>
      <c r="D796">
        <v>4</v>
      </c>
      <c r="E796" t="s">
        <v>32</v>
      </c>
      <c r="F796" t="s">
        <v>130</v>
      </c>
      <c r="G796" t="s">
        <v>30</v>
      </c>
      <c r="I796">
        <v>1</v>
      </c>
      <c r="J796" t="s">
        <v>83</v>
      </c>
      <c r="K796" s="1">
        <v>45152</v>
      </c>
      <c r="L796">
        <v>161.31499999999599</v>
      </c>
      <c r="M796">
        <v>15.914602745728599</v>
      </c>
    </row>
    <row r="797" spans="1:13" x14ac:dyDescent="0.25">
      <c r="A797" t="str">
        <f t="shared" si="12"/>
        <v>2023_SA_Pinery_Lentil_DetailedTOSTOS2VarietyBoltWaterTrtRainFed</v>
      </c>
      <c r="B797">
        <v>2023024</v>
      </c>
      <c r="C797" t="s">
        <v>85</v>
      </c>
      <c r="D797">
        <v>4</v>
      </c>
      <c r="E797" t="s">
        <v>32</v>
      </c>
      <c r="F797" t="s">
        <v>130</v>
      </c>
      <c r="G797" t="s">
        <v>30</v>
      </c>
      <c r="I797">
        <v>2</v>
      </c>
      <c r="J797" t="s">
        <v>84</v>
      </c>
      <c r="K797" s="1">
        <v>45187</v>
      </c>
      <c r="L797">
        <v>171.490000000001</v>
      </c>
      <c r="M797">
        <v>15.9146027457285</v>
      </c>
    </row>
    <row r="798" spans="1:13" x14ac:dyDescent="0.25">
      <c r="A798" t="str">
        <f t="shared" si="12"/>
        <v>2023_SA_Pinery_Lentil_DetailedTOSTOS1VarietyHallmarkXTWaterTrtIrrigated</v>
      </c>
      <c r="B798">
        <v>2023024</v>
      </c>
      <c r="C798" t="s">
        <v>85</v>
      </c>
      <c r="D798">
        <v>4</v>
      </c>
      <c r="E798" t="s">
        <v>32</v>
      </c>
      <c r="F798" t="s">
        <v>131</v>
      </c>
      <c r="G798" t="s">
        <v>27</v>
      </c>
      <c r="I798">
        <v>1</v>
      </c>
      <c r="J798" t="s">
        <v>83</v>
      </c>
      <c r="K798" s="1">
        <v>45152</v>
      </c>
      <c r="L798">
        <v>171.245000000001</v>
      </c>
      <c r="M798">
        <v>15.9146027457285</v>
      </c>
    </row>
    <row r="799" spans="1:13" x14ac:dyDescent="0.25">
      <c r="A799" t="str">
        <f t="shared" si="12"/>
        <v>2023_SA_Pinery_Lentil_DetailedTOSTOS2VarietyHallmarkXTWaterTrtIrrigated</v>
      </c>
      <c r="B799">
        <v>2023024</v>
      </c>
      <c r="C799" t="s">
        <v>85</v>
      </c>
      <c r="D799">
        <v>4</v>
      </c>
      <c r="E799" t="s">
        <v>32</v>
      </c>
      <c r="F799" t="s">
        <v>131</v>
      </c>
      <c r="G799" t="s">
        <v>27</v>
      </c>
      <c r="I799">
        <v>2</v>
      </c>
      <c r="J799" t="s">
        <v>84</v>
      </c>
      <c r="K799" s="1">
        <v>45187</v>
      </c>
      <c r="L799">
        <v>178.97750000000201</v>
      </c>
      <c r="M799">
        <v>15.914602745728599</v>
      </c>
    </row>
    <row r="800" spans="1:13" x14ac:dyDescent="0.25">
      <c r="A800" t="str">
        <f t="shared" si="12"/>
        <v>2023_SA_Pinery_Lentil_DetailedTOSTOS1VarietyHallmarkXTWaterTrtRainFed</v>
      </c>
      <c r="B800">
        <v>2023024</v>
      </c>
      <c r="C800" t="s">
        <v>85</v>
      </c>
      <c r="D800">
        <v>4</v>
      </c>
      <c r="E800" t="s">
        <v>32</v>
      </c>
      <c r="F800" t="s">
        <v>131</v>
      </c>
      <c r="G800" t="s">
        <v>30</v>
      </c>
      <c r="I800">
        <v>1</v>
      </c>
      <c r="J800" t="s">
        <v>83</v>
      </c>
      <c r="K800" s="1">
        <v>45152</v>
      </c>
      <c r="L800">
        <v>196.740000000001</v>
      </c>
      <c r="M800">
        <v>15.914602745728599</v>
      </c>
    </row>
    <row r="801" spans="1:13" x14ac:dyDescent="0.25">
      <c r="A801" t="str">
        <f t="shared" si="12"/>
        <v>2023_SA_Pinery_Lentil_DetailedTOSTOS2VarietyHallmarkXTWaterTrtRainFed</v>
      </c>
      <c r="B801">
        <v>2023024</v>
      </c>
      <c r="C801" t="s">
        <v>85</v>
      </c>
      <c r="D801">
        <v>4</v>
      </c>
      <c r="E801" t="s">
        <v>32</v>
      </c>
      <c r="F801" t="s">
        <v>131</v>
      </c>
      <c r="G801" t="s">
        <v>30</v>
      </c>
      <c r="I801">
        <v>2</v>
      </c>
      <c r="J801" t="s">
        <v>84</v>
      </c>
      <c r="K801" s="1">
        <v>45187</v>
      </c>
      <c r="L801">
        <v>140.88750000000101</v>
      </c>
      <c r="M801">
        <v>15.9146027457285</v>
      </c>
    </row>
    <row r="802" spans="1:13" x14ac:dyDescent="0.25">
      <c r="A802" t="str">
        <f t="shared" si="12"/>
        <v>2023_SA_Pinery_Lentil_DetailedTOSTOS1VarietyJumbo2WaterTrtIrrigated</v>
      </c>
      <c r="B802">
        <v>2023024</v>
      </c>
      <c r="C802" t="s">
        <v>85</v>
      </c>
      <c r="D802">
        <v>4</v>
      </c>
      <c r="E802" t="s">
        <v>32</v>
      </c>
      <c r="F802" t="s">
        <v>132</v>
      </c>
      <c r="G802" t="s">
        <v>27</v>
      </c>
      <c r="I802">
        <v>1</v>
      </c>
      <c r="J802" t="s">
        <v>83</v>
      </c>
      <c r="K802" s="1">
        <v>45152</v>
      </c>
      <c r="L802">
        <v>166.53250000000099</v>
      </c>
      <c r="M802">
        <v>15.9146027457284</v>
      </c>
    </row>
    <row r="803" spans="1:13" x14ac:dyDescent="0.25">
      <c r="A803" t="str">
        <f t="shared" si="12"/>
        <v>2023_SA_Pinery_Lentil_DetailedTOSTOS2VarietyJumbo2WaterTrtIrrigated</v>
      </c>
      <c r="B803">
        <v>2023024</v>
      </c>
      <c r="C803" t="s">
        <v>85</v>
      </c>
      <c r="D803">
        <v>4</v>
      </c>
      <c r="E803" t="s">
        <v>32</v>
      </c>
      <c r="F803" t="s">
        <v>132</v>
      </c>
      <c r="G803" t="s">
        <v>27</v>
      </c>
      <c r="I803">
        <v>2</v>
      </c>
      <c r="J803" t="s">
        <v>84</v>
      </c>
      <c r="K803" s="1">
        <v>45187</v>
      </c>
      <c r="L803">
        <v>188.50000000000199</v>
      </c>
      <c r="M803">
        <v>15.914602745728599</v>
      </c>
    </row>
    <row r="804" spans="1:13" x14ac:dyDescent="0.25">
      <c r="A804" t="str">
        <f t="shared" si="12"/>
        <v>2023_SA_Pinery_Lentil_DetailedTOSTOS1VarietyJumbo2WaterTrtRainFed</v>
      </c>
      <c r="B804">
        <v>2023024</v>
      </c>
      <c r="C804" t="s">
        <v>85</v>
      </c>
      <c r="D804">
        <v>4</v>
      </c>
      <c r="E804" t="s">
        <v>32</v>
      </c>
      <c r="F804" t="s">
        <v>132</v>
      </c>
      <c r="G804" t="s">
        <v>30</v>
      </c>
      <c r="I804">
        <v>1</v>
      </c>
      <c r="J804" t="s">
        <v>83</v>
      </c>
      <c r="K804" s="1">
        <v>45152</v>
      </c>
      <c r="L804">
        <v>209.45000000000101</v>
      </c>
      <c r="M804">
        <v>15.914602745728599</v>
      </c>
    </row>
    <row r="805" spans="1:13" x14ac:dyDescent="0.25">
      <c r="A805" t="str">
        <f t="shared" si="12"/>
        <v>2023_SA_Pinery_Lentil_DetailedTOSTOS2VarietyJumbo2WaterTrtRainFed</v>
      </c>
      <c r="B805">
        <v>2023024</v>
      </c>
      <c r="C805" t="s">
        <v>85</v>
      </c>
      <c r="D805">
        <v>4</v>
      </c>
      <c r="E805" t="s">
        <v>32</v>
      </c>
      <c r="F805" t="s">
        <v>132</v>
      </c>
      <c r="G805" t="s">
        <v>30</v>
      </c>
      <c r="I805">
        <v>2</v>
      </c>
      <c r="J805" t="s">
        <v>84</v>
      </c>
      <c r="K805" s="1">
        <v>45187</v>
      </c>
      <c r="L805">
        <v>139.457500000001</v>
      </c>
      <c r="M805">
        <v>15.9146027457285</v>
      </c>
    </row>
    <row r="806" spans="1:13" x14ac:dyDescent="0.25">
      <c r="A806" t="str">
        <f t="shared" si="12"/>
        <v>2023_SA_Pinery_Lentil_DetailedTOSTOS1VarietyKelpieXTWaterTrtIrrigated</v>
      </c>
      <c r="B806">
        <v>2023024</v>
      </c>
      <c r="C806" t="s">
        <v>85</v>
      </c>
      <c r="D806">
        <v>4</v>
      </c>
      <c r="E806" t="s">
        <v>32</v>
      </c>
      <c r="F806" t="s">
        <v>133</v>
      </c>
      <c r="G806" t="s">
        <v>27</v>
      </c>
      <c r="I806">
        <v>1</v>
      </c>
      <c r="J806" t="s">
        <v>83</v>
      </c>
      <c r="K806" s="1">
        <v>45152</v>
      </c>
      <c r="L806">
        <v>186.22500000000201</v>
      </c>
      <c r="M806">
        <v>15.9146027457285</v>
      </c>
    </row>
    <row r="807" spans="1:13" x14ac:dyDescent="0.25">
      <c r="A807" t="str">
        <f t="shared" si="12"/>
        <v>2023_SA_Pinery_Lentil_DetailedTOSTOS2VarietyKelpieXTWaterTrtIrrigated</v>
      </c>
      <c r="B807">
        <v>2023024</v>
      </c>
      <c r="C807" t="s">
        <v>85</v>
      </c>
      <c r="D807">
        <v>4</v>
      </c>
      <c r="E807" t="s">
        <v>32</v>
      </c>
      <c r="F807" t="s">
        <v>133</v>
      </c>
      <c r="G807" t="s">
        <v>27</v>
      </c>
      <c r="I807">
        <v>2</v>
      </c>
      <c r="J807" t="s">
        <v>84</v>
      </c>
      <c r="K807" s="1">
        <v>45187</v>
      </c>
      <c r="L807">
        <v>152.305000000001</v>
      </c>
      <c r="M807">
        <v>15.914602745728599</v>
      </c>
    </row>
    <row r="808" spans="1:13" x14ac:dyDescent="0.25">
      <c r="A808" t="str">
        <f t="shared" si="12"/>
        <v>2023_SA_Pinery_Lentil_DetailedTOSTOS1VarietyKelpieXTWaterTrtRainFed</v>
      </c>
      <c r="B808">
        <v>2023024</v>
      </c>
      <c r="C808" t="s">
        <v>85</v>
      </c>
      <c r="D808">
        <v>4</v>
      </c>
      <c r="E808" t="s">
        <v>32</v>
      </c>
      <c r="F808" t="s">
        <v>133</v>
      </c>
      <c r="G808" t="s">
        <v>30</v>
      </c>
      <c r="I808">
        <v>1</v>
      </c>
      <c r="J808" t="s">
        <v>83</v>
      </c>
      <c r="K808" s="1">
        <v>45152</v>
      </c>
      <c r="L808">
        <v>161.655000000001</v>
      </c>
      <c r="M808">
        <v>15.914602745728599</v>
      </c>
    </row>
    <row r="809" spans="1:13" x14ac:dyDescent="0.25">
      <c r="A809" t="str">
        <f t="shared" si="12"/>
        <v>2023_SA_Pinery_Lentil_DetailedTOSTOS2VarietyKelpieXTWaterTrtRainFed</v>
      </c>
      <c r="B809">
        <v>2023024</v>
      </c>
      <c r="C809" t="s">
        <v>85</v>
      </c>
      <c r="D809">
        <v>4</v>
      </c>
      <c r="E809" t="s">
        <v>32</v>
      </c>
      <c r="F809" t="s">
        <v>133</v>
      </c>
      <c r="G809" t="s">
        <v>30</v>
      </c>
      <c r="I809">
        <v>2</v>
      </c>
      <c r="J809" t="s">
        <v>84</v>
      </c>
      <c r="K809" s="1">
        <v>45187</v>
      </c>
      <c r="L809">
        <v>134.77250000000001</v>
      </c>
      <c r="M809">
        <v>15.9146027457285</v>
      </c>
    </row>
    <row r="810" spans="1:13" x14ac:dyDescent="0.25">
      <c r="A810" t="str">
        <f t="shared" si="12"/>
        <v>2023_SA_Pinery_Lentil_DetailedTOSTOS1VarietyBoltWaterTrtIrrigated</v>
      </c>
      <c r="B810">
        <v>2023024</v>
      </c>
      <c r="C810" t="s">
        <v>85</v>
      </c>
      <c r="D810">
        <v>5</v>
      </c>
      <c r="E810" t="s">
        <v>33</v>
      </c>
      <c r="F810" t="s">
        <v>130</v>
      </c>
      <c r="G810" t="s">
        <v>27</v>
      </c>
      <c r="I810">
        <v>1</v>
      </c>
      <c r="J810" t="s">
        <v>83</v>
      </c>
      <c r="K810" s="1">
        <v>45175</v>
      </c>
      <c r="L810">
        <v>508.777499999989</v>
      </c>
      <c r="M810">
        <v>25.944216926639299</v>
      </c>
    </row>
    <row r="811" spans="1:13" x14ac:dyDescent="0.25">
      <c r="A811" t="str">
        <f t="shared" si="12"/>
        <v>2023_SA_Pinery_Lentil_DetailedTOSTOS2VarietyBoltWaterTrtIrrigated</v>
      </c>
      <c r="B811">
        <v>2023024</v>
      </c>
      <c r="C811" t="s">
        <v>85</v>
      </c>
      <c r="D811">
        <v>5</v>
      </c>
      <c r="E811" t="s">
        <v>33</v>
      </c>
      <c r="F811" t="s">
        <v>130</v>
      </c>
      <c r="G811" t="s">
        <v>27</v>
      </c>
      <c r="I811">
        <v>2</v>
      </c>
      <c r="J811" t="s">
        <v>84</v>
      </c>
      <c r="K811" s="1">
        <v>45197</v>
      </c>
      <c r="L811">
        <v>304.82</v>
      </c>
      <c r="M811">
        <v>25.944216926639299</v>
      </c>
    </row>
    <row r="812" spans="1:13" x14ac:dyDescent="0.25">
      <c r="A812" t="str">
        <f t="shared" si="12"/>
        <v>2023_SA_Pinery_Lentil_DetailedTOSTOS1VarietyBoltWaterTrtRainFed</v>
      </c>
      <c r="B812">
        <v>2023024</v>
      </c>
      <c r="C812" t="s">
        <v>85</v>
      </c>
      <c r="D812">
        <v>5</v>
      </c>
      <c r="E812" t="s">
        <v>33</v>
      </c>
      <c r="F812" t="s">
        <v>130</v>
      </c>
      <c r="G812" t="s">
        <v>30</v>
      </c>
      <c r="I812">
        <v>1</v>
      </c>
      <c r="J812" t="s">
        <v>83</v>
      </c>
      <c r="K812" s="1">
        <v>45175</v>
      </c>
      <c r="L812">
        <v>496.00000000000102</v>
      </c>
      <c r="M812">
        <v>25.944216926639299</v>
      </c>
    </row>
    <row r="813" spans="1:13" x14ac:dyDescent="0.25">
      <c r="A813" t="str">
        <f t="shared" si="12"/>
        <v>2023_SA_Pinery_Lentil_DetailedTOSTOS2VarietyBoltWaterTrtRainFed</v>
      </c>
      <c r="B813">
        <v>2023024</v>
      </c>
      <c r="C813" t="s">
        <v>85</v>
      </c>
      <c r="D813">
        <v>5</v>
      </c>
      <c r="E813" t="s">
        <v>33</v>
      </c>
      <c r="F813" t="s">
        <v>130</v>
      </c>
      <c r="G813" t="s">
        <v>30</v>
      </c>
      <c r="I813">
        <v>2</v>
      </c>
      <c r="J813" t="s">
        <v>84</v>
      </c>
      <c r="K813" s="1">
        <v>45197</v>
      </c>
      <c r="L813">
        <v>261.17500000000001</v>
      </c>
      <c r="M813">
        <v>25.9442169266392</v>
      </c>
    </row>
    <row r="814" spans="1:13" x14ac:dyDescent="0.25">
      <c r="A814" t="str">
        <f t="shared" si="12"/>
        <v>2023_SA_Pinery_Lentil_DetailedTOSTOS1VarietyHallmarkXTWaterTrtIrrigated</v>
      </c>
      <c r="B814">
        <v>2023024</v>
      </c>
      <c r="C814" t="s">
        <v>85</v>
      </c>
      <c r="D814">
        <v>5</v>
      </c>
      <c r="E814" t="s">
        <v>33</v>
      </c>
      <c r="F814" t="s">
        <v>131</v>
      </c>
      <c r="G814" t="s">
        <v>27</v>
      </c>
      <c r="I814">
        <v>1</v>
      </c>
      <c r="J814" t="s">
        <v>83</v>
      </c>
      <c r="K814" s="1">
        <v>45175</v>
      </c>
      <c r="L814">
        <v>563.65249999999799</v>
      </c>
      <c r="M814">
        <v>25.9442169266392</v>
      </c>
    </row>
    <row r="815" spans="1:13" x14ac:dyDescent="0.25">
      <c r="A815" t="str">
        <f t="shared" si="12"/>
        <v>2023_SA_Pinery_Lentil_DetailedTOSTOS2VarietyHallmarkXTWaterTrtIrrigated</v>
      </c>
      <c r="B815">
        <v>2023024</v>
      </c>
      <c r="C815" t="s">
        <v>85</v>
      </c>
      <c r="D815">
        <v>5</v>
      </c>
      <c r="E815" t="s">
        <v>33</v>
      </c>
      <c r="F815" t="s">
        <v>131</v>
      </c>
      <c r="G815" t="s">
        <v>27</v>
      </c>
      <c r="I815">
        <v>2</v>
      </c>
      <c r="J815" t="s">
        <v>84</v>
      </c>
      <c r="K815" s="1">
        <v>45197</v>
      </c>
      <c r="L815">
        <v>294.20499999999902</v>
      </c>
      <c r="M815">
        <v>25.9442169266392</v>
      </c>
    </row>
    <row r="816" spans="1:13" x14ac:dyDescent="0.25">
      <c r="A816" t="str">
        <f t="shared" si="12"/>
        <v>2023_SA_Pinery_Lentil_DetailedTOSTOS1VarietyHallmarkXTWaterTrtRainFed</v>
      </c>
      <c r="B816">
        <v>2023024</v>
      </c>
      <c r="C816" t="s">
        <v>85</v>
      </c>
      <c r="D816">
        <v>5</v>
      </c>
      <c r="E816" t="s">
        <v>33</v>
      </c>
      <c r="F816" t="s">
        <v>131</v>
      </c>
      <c r="G816" t="s">
        <v>30</v>
      </c>
      <c r="I816">
        <v>1</v>
      </c>
      <c r="J816" t="s">
        <v>83</v>
      </c>
      <c r="K816" s="1">
        <v>45175</v>
      </c>
      <c r="L816">
        <v>496.03999999999797</v>
      </c>
      <c r="M816">
        <v>25.9442169266392</v>
      </c>
    </row>
    <row r="817" spans="1:25" x14ac:dyDescent="0.25">
      <c r="A817" t="str">
        <f t="shared" si="12"/>
        <v>2023_SA_Pinery_Lentil_DetailedTOSTOS2VarietyHallmarkXTWaterTrtRainFed</v>
      </c>
      <c r="B817">
        <v>2023024</v>
      </c>
      <c r="C817" t="s">
        <v>85</v>
      </c>
      <c r="D817">
        <v>5</v>
      </c>
      <c r="E817" t="s">
        <v>33</v>
      </c>
      <c r="F817" t="s">
        <v>131</v>
      </c>
      <c r="G817" t="s">
        <v>30</v>
      </c>
      <c r="I817">
        <v>2</v>
      </c>
      <c r="J817" t="s">
        <v>84</v>
      </c>
      <c r="K817" s="1">
        <v>45197</v>
      </c>
      <c r="L817">
        <v>250.379999999999</v>
      </c>
      <c r="M817">
        <v>25.944216926639299</v>
      </c>
    </row>
    <row r="818" spans="1:25" x14ac:dyDescent="0.25">
      <c r="A818" t="str">
        <f t="shared" si="12"/>
        <v>2023_SA_Pinery_Lentil_DetailedTOSTOS1VarietyJumbo2WaterTrtIrrigated</v>
      </c>
      <c r="B818">
        <v>2023024</v>
      </c>
      <c r="C818" t="s">
        <v>85</v>
      </c>
      <c r="D818">
        <v>5</v>
      </c>
      <c r="E818" t="s">
        <v>33</v>
      </c>
      <c r="F818" t="s">
        <v>132</v>
      </c>
      <c r="G818" t="s">
        <v>27</v>
      </c>
      <c r="I818">
        <v>1</v>
      </c>
      <c r="J818" t="s">
        <v>83</v>
      </c>
      <c r="K818" s="1">
        <v>45175</v>
      </c>
      <c r="L818">
        <v>530.16499999999803</v>
      </c>
      <c r="M818">
        <v>25.9442169266392</v>
      </c>
    </row>
    <row r="819" spans="1:25" x14ac:dyDescent="0.25">
      <c r="A819" t="str">
        <f t="shared" si="12"/>
        <v>2023_SA_Pinery_Lentil_DetailedTOSTOS2VarietyJumbo2WaterTrtIrrigated</v>
      </c>
      <c r="B819">
        <v>2023024</v>
      </c>
      <c r="C819" t="s">
        <v>85</v>
      </c>
      <c r="D819">
        <v>5</v>
      </c>
      <c r="E819" t="s">
        <v>33</v>
      </c>
      <c r="F819" t="s">
        <v>132</v>
      </c>
      <c r="G819" t="s">
        <v>27</v>
      </c>
      <c r="I819">
        <v>2</v>
      </c>
      <c r="J819" t="s">
        <v>84</v>
      </c>
      <c r="K819" s="1">
        <v>45197</v>
      </c>
      <c r="L819">
        <v>301.21249999999799</v>
      </c>
      <c r="M819">
        <v>25.9442169266392</v>
      </c>
    </row>
    <row r="820" spans="1:25" x14ac:dyDescent="0.25">
      <c r="A820" t="str">
        <f t="shared" si="12"/>
        <v>2023_SA_Pinery_Lentil_DetailedTOSTOS1VarietyJumbo2WaterTrtRainFed</v>
      </c>
      <c r="B820">
        <v>2023024</v>
      </c>
      <c r="C820" t="s">
        <v>85</v>
      </c>
      <c r="D820">
        <v>5</v>
      </c>
      <c r="E820" t="s">
        <v>33</v>
      </c>
      <c r="F820" t="s">
        <v>132</v>
      </c>
      <c r="G820" t="s">
        <v>30</v>
      </c>
      <c r="I820">
        <v>1</v>
      </c>
      <c r="J820" t="s">
        <v>83</v>
      </c>
      <c r="K820" s="1">
        <v>45175</v>
      </c>
      <c r="L820">
        <v>516.57749999999805</v>
      </c>
      <c r="M820">
        <v>25.9442169266392</v>
      </c>
    </row>
    <row r="821" spans="1:25" x14ac:dyDescent="0.25">
      <c r="A821" t="str">
        <f t="shared" si="12"/>
        <v>2023_SA_Pinery_Lentil_DetailedTOSTOS2VarietyJumbo2WaterTrtRainFed</v>
      </c>
      <c r="B821">
        <v>2023024</v>
      </c>
      <c r="C821" t="s">
        <v>85</v>
      </c>
      <c r="D821">
        <v>5</v>
      </c>
      <c r="E821" t="s">
        <v>33</v>
      </c>
      <c r="F821" t="s">
        <v>132</v>
      </c>
      <c r="G821" t="s">
        <v>30</v>
      </c>
      <c r="I821">
        <v>2</v>
      </c>
      <c r="J821" t="s">
        <v>84</v>
      </c>
      <c r="K821" s="1">
        <v>45197</v>
      </c>
      <c r="L821">
        <v>259.90499999999901</v>
      </c>
      <c r="M821">
        <v>25.944216926639299</v>
      </c>
    </row>
    <row r="822" spans="1:25" x14ac:dyDescent="0.25">
      <c r="A822" t="str">
        <f t="shared" si="12"/>
        <v>2023_SA_Pinery_Lentil_DetailedTOSTOS1VarietyKelpieXTWaterTrtIrrigated</v>
      </c>
      <c r="B822">
        <v>2023024</v>
      </c>
      <c r="C822" t="s">
        <v>85</v>
      </c>
      <c r="D822">
        <v>5</v>
      </c>
      <c r="E822" t="s">
        <v>33</v>
      </c>
      <c r="F822" t="s">
        <v>133</v>
      </c>
      <c r="G822" t="s">
        <v>27</v>
      </c>
      <c r="I822">
        <v>1</v>
      </c>
      <c r="J822" t="s">
        <v>83</v>
      </c>
      <c r="K822" s="1">
        <v>45175</v>
      </c>
      <c r="L822">
        <v>518.91749999999695</v>
      </c>
      <c r="M822">
        <v>25.9442169266392</v>
      </c>
    </row>
    <row r="823" spans="1:25" x14ac:dyDescent="0.25">
      <c r="A823" t="str">
        <f t="shared" si="12"/>
        <v>2023_SA_Pinery_Lentil_DetailedTOSTOS2VarietyKelpieXTWaterTrtIrrigated</v>
      </c>
      <c r="B823">
        <v>2023024</v>
      </c>
      <c r="C823" t="s">
        <v>85</v>
      </c>
      <c r="D823">
        <v>5</v>
      </c>
      <c r="E823" t="s">
        <v>33</v>
      </c>
      <c r="F823" t="s">
        <v>133</v>
      </c>
      <c r="G823" t="s">
        <v>27</v>
      </c>
      <c r="I823">
        <v>2</v>
      </c>
      <c r="J823" t="s">
        <v>84</v>
      </c>
      <c r="K823" s="1">
        <v>45197</v>
      </c>
      <c r="L823">
        <v>270.71749999999798</v>
      </c>
      <c r="M823">
        <v>25.9442169266392</v>
      </c>
    </row>
    <row r="824" spans="1:25" x14ac:dyDescent="0.25">
      <c r="A824" t="str">
        <f t="shared" si="12"/>
        <v>2023_SA_Pinery_Lentil_DetailedTOSTOS1VarietyKelpieXTWaterTrtRainFed</v>
      </c>
      <c r="B824">
        <v>2023024</v>
      </c>
      <c r="C824" t="s">
        <v>85</v>
      </c>
      <c r="D824">
        <v>5</v>
      </c>
      <c r="E824" t="s">
        <v>33</v>
      </c>
      <c r="F824" t="s">
        <v>133</v>
      </c>
      <c r="G824" t="s">
        <v>30</v>
      </c>
      <c r="I824">
        <v>1</v>
      </c>
      <c r="J824" t="s">
        <v>83</v>
      </c>
      <c r="K824" s="1">
        <v>45175</v>
      </c>
      <c r="L824">
        <v>493.91499999999797</v>
      </c>
      <c r="M824">
        <v>25.9442169266392</v>
      </c>
    </row>
    <row r="825" spans="1:25" x14ac:dyDescent="0.25">
      <c r="A825" t="str">
        <f t="shared" si="12"/>
        <v>2023_SA_Pinery_Lentil_DetailedTOSTOS2VarietyKelpieXTWaterTrtRainFed</v>
      </c>
      <c r="B825">
        <v>2023024</v>
      </c>
      <c r="C825" t="s">
        <v>85</v>
      </c>
      <c r="D825">
        <v>5</v>
      </c>
      <c r="E825" t="s">
        <v>33</v>
      </c>
      <c r="F825" t="s">
        <v>133</v>
      </c>
      <c r="G825" t="s">
        <v>30</v>
      </c>
      <c r="I825">
        <v>2</v>
      </c>
      <c r="J825" t="s">
        <v>84</v>
      </c>
      <c r="K825" s="1">
        <v>45197</v>
      </c>
      <c r="L825">
        <v>215.32499999999899</v>
      </c>
      <c r="M825">
        <v>25.944216926639299</v>
      </c>
    </row>
    <row r="826" spans="1:25" x14ac:dyDescent="0.25">
      <c r="A826" t="str">
        <f t="shared" si="12"/>
        <v>2023_SA_Pinery_Lentil_DetailedTOSTOS1VarietyBoltWaterTrtIrrigated</v>
      </c>
      <c r="B826">
        <v>2023024</v>
      </c>
      <c r="C826" t="s">
        <v>85</v>
      </c>
      <c r="D826">
        <v>6</v>
      </c>
      <c r="E826" t="s">
        <v>34</v>
      </c>
      <c r="F826" t="s">
        <v>130</v>
      </c>
      <c r="G826" t="s">
        <v>27</v>
      </c>
      <c r="I826">
        <v>1</v>
      </c>
      <c r="J826" t="s">
        <v>83</v>
      </c>
      <c r="K826" s="1">
        <v>45216</v>
      </c>
      <c r="L826">
        <v>772.31250000002603</v>
      </c>
      <c r="M826">
        <v>27.7256339289392</v>
      </c>
      <c r="N826">
        <v>0.34399999999999997</v>
      </c>
      <c r="O826">
        <v>1.2999999999999999E-2</v>
      </c>
      <c r="P826">
        <v>5995</v>
      </c>
      <c r="Q826">
        <v>380</v>
      </c>
      <c r="T826">
        <v>6698</v>
      </c>
      <c r="U826">
        <v>450</v>
      </c>
      <c r="V826">
        <v>34.774999999999601</v>
      </c>
      <c r="W826">
        <v>1.2238177356450499</v>
      </c>
      <c r="X826">
        <v>266</v>
      </c>
      <c r="Y826">
        <v>12</v>
      </c>
    </row>
    <row r="827" spans="1:25" x14ac:dyDescent="0.25">
      <c r="A827" t="str">
        <f t="shared" si="12"/>
        <v>2023_SA_Pinery_Lentil_DetailedTOSTOS2VarietyBoltWaterTrtIrrigated</v>
      </c>
      <c r="B827">
        <v>2023024</v>
      </c>
      <c r="C827" t="s">
        <v>85</v>
      </c>
      <c r="D827">
        <v>6</v>
      </c>
      <c r="E827" t="s">
        <v>34</v>
      </c>
      <c r="F827" t="s">
        <v>130</v>
      </c>
      <c r="G827" t="s">
        <v>27</v>
      </c>
      <c r="I827">
        <v>2</v>
      </c>
      <c r="J827" t="s">
        <v>84</v>
      </c>
      <c r="K827" s="1">
        <v>45231</v>
      </c>
      <c r="L827">
        <v>470.199999999998</v>
      </c>
      <c r="M827">
        <v>27.725633928939899</v>
      </c>
      <c r="N827">
        <v>0.39</v>
      </c>
      <c r="O827">
        <v>1.2999999999999999E-2</v>
      </c>
      <c r="P827">
        <v>2908</v>
      </c>
      <c r="Q827">
        <v>380</v>
      </c>
      <c r="T827">
        <v>2781</v>
      </c>
      <c r="U827">
        <v>300</v>
      </c>
      <c r="V827">
        <v>44.357500000000101</v>
      </c>
      <c r="W827">
        <v>1.2238177356450399</v>
      </c>
      <c r="X827">
        <v>183</v>
      </c>
      <c r="Y827">
        <v>12</v>
      </c>
    </row>
    <row r="828" spans="1:25" x14ac:dyDescent="0.25">
      <c r="A828" t="str">
        <f t="shared" si="12"/>
        <v>2023_SA_Pinery_Lentil_DetailedTOSTOS1VarietyBoltWaterTrtRainFed</v>
      </c>
      <c r="B828">
        <v>2023024</v>
      </c>
      <c r="C828" t="s">
        <v>85</v>
      </c>
      <c r="D828">
        <v>6</v>
      </c>
      <c r="E828" t="s">
        <v>34</v>
      </c>
      <c r="F828" t="s">
        <v>130</v>
      </c>
      <c r="G828" t="s">
        <v>30</v>
      </c>
      <c r="I828">
        <v>1</v>
      </c>
      <c r="J828" t="s">
        <v>83</v>
      </c>
      <c r="K828" s="1">
        <v>45216</v>
      </c>
      <c r="L828">
        <v>677.62499999999795</v>
      </c>
      <c r="M828">
        <v>27.7256339289398</v>
      </c>
      <c r="N828">
        <v>0.39900000000000002</v>
      </c>
      <c r="O828">
        <v>1.2999999999999999E-2</v>
      </c>
      <c r="P828">
        <v>5914</v>
      </c>
      <c r="Q828">
        <v>380</v>
      </c>
      <c r="T828">
        <v>6475</v>
      </c>
      <c r="U828">
        <v>450</v>
      </c>
      <c r="V828">
        <v>36.767499999999998</v>
      </c>
      <c r="W828">
        <v>1.2238177356450399</v>
      </c>
      <c r="X828">
        <v>270</v>
      </c>
      <c r="Y828">
        <v>12</v>
      </c>
    </row>
    <row r="829" spans="1:25" x14ac:dyDescent="0.25">
      <c r="A829" t="str">
        <f t="shared" si="12"/>
        <v>2023_SA_Pinery_Lentil_DetailedTOSTOS2VarietyBoltWaterTrtRainFed</v>
      </c>
      <c r="B829">
        <v>2023024</v>
      </c>
      <c r="C829" t="s">
        <v>85</v>
      </c>
      <c r="D829">
        <v>6</v>
      </c>
      <c r="E829" t="s">
        <v>34</v>
      </c>
      <c r="F829" t="s">
        <v>130</v>
      </c>
      <c r="G829" t="s">
        <v>30</v>
      </c>
      <c r="I829">
        <v>2</v>
      </c>
      <c r="J829" t="s">
        <v>84</v>
      </c>
      <c r="K829" s="1">
        <v>45231</v>
      </c>
      <c r="L829">
        <v>369.78250000000099</v>
      </c>
      <c r="M829">
        <v>27.725633928939502</v>
      </c>
      <c r="N829">
        <v>0.373</v>
      </c>
      <c r="O829">
        <v>1.2999999999999999E-2</v>
      </c>
      <c r="P829">
        <v>2341</v>
      </c>
      <c r="Q829">
        <v>380</v>
      </c>
      <c r="T829">
        <v>2409</v>
      </c>
      <c r="U829">
        <v>300</v>
      </c>
      <c r="V829">
        <v>42.267499999999998</v>
      </c>
      <c r="W829">
        <v>1.2238177356450399</v>
      </c>
      <c r="X829">
        <v>138</v>
      </c>
      <c r="Y829">
        <v>12</v>
      </c>
    </row>
    <row r="830" spans="1:25" x14ac:dyDescent="0.25">
      <c r="A830" t="str">
        <f t="shared" si="12"/>
        <v>2023_SA_Pinery_Lentil_DetailedTOSTOS1VarietyHallmarkXTWaterTrtIrrigated</v>
      </c>
      <c r="B830">
        <v>2023024</v>
      </c>
      <c r="C830" t="s">
        <v>85</v>
      </c>
      <c r="D830">
        <v>6</v>
      </c>
      <c r="E830" t="s">
        <v>34</v>
      </c>
      <c r="F830" t="s">
        <v>131</v>
      </c>
      <c r="G830" t="s">
        <v>27</v>
      </c>
      <c r="I830">
        <v>1</v>
      </c>
      <c r="J830" t="s">
        <v>83</v>
      </c>
      <c r="K830" s="1">
        <v>45216</v>
      </c>
      <c r="L830">
        <v>775.37250000000597</v>
      </c>
      <c r="M830">
        <v>27.7256339289397</v>
      </c>
      <c r="N830">
        <v>0.34899999999999998</v>
      </c>
      <c r="O830">
        <v>1.2999999999999999E-2</v>
      </c>
      <c r="P830">
        <v>6532</v>
      </c>
      <c r="Q830">
        <v>380</v>
      </c>
      <c r="T830">
        <v>7505</v>
      </c>
      <c r="U830">
        <v>450</v>
      </c>
      <c r="V830">
        <v>33.457499999999897</v>
      </c>
      <c r="W830">
        <v>1.2238177356450399</v>
      </c>
      <c r="X830">
        <v>271</v>
      </c>
      <c r="Y830">
        <v>12</v>
      </c>
    </row>
    <row r="831" spans="1:25" x14ac:dyDescent="0.25">
      <c r="A831" t="str">
        <f t="shared" si="12"/>
        <v>2023_SA_Pinery_Lentil_DetailedTOSTOS2VarietyHallmarkXTWaterTrtIrrigated</v>
      </c>
      <c r="B831">
        <v>2023024</v>
      </c>
      <c r="C831" t="s">
        <v>85</v>
      </c>
      <c r="D831">
        <v>6</v>
      </c>
      <c r="E831" t="s">
        <v>34</v>
      </c>
      <c r="F831" t="s">
        <v>131</v>
      </c>
      <c r="G831" t="s">
        <v>27</v>
      </c>
      <c r="I831">
        <v>2</v>
      </c>
      <c r="J831" t="s">
        <v>84</v>
      </c>
      <c r="K831" s="1">
        <v>45231</v>
      </c>
      <c r="L831">
        <v>461.36000000000098</v>
      </c>
      <c r="M831">
        <v>27.7256339289397</v>
      </c>
      <c r="N831">
        <v>0.38600000000000001</v>
      </c>
      <c r="O831">
        <v>1.2999999999999999E-2</v>
      </c>
      <c r="P831">
        <v>3097</v>
      </c>
      <c r="Q831">
        <v>380</v>
      </c>
      <c r="T831">
        <v>3268</v>
      </c>
      <c r="U831">
        <v>300</v>
      </c>
      <c r="V831">
        <v>39.267499999999998</v>
      </c>
      <c r="W831">
        <v>1.2238177356450399</v>
      </c>
      <c r="X831">
        <v>178</v>
      </c>
      <c r="Y831">
        <v>12</v>
      </c>
    </row>
    <row r="832" spans="1:25" x14ac:dyDescent="0.25">
      <c r="A832" t="str">
        <f t="shared" si="12"/>
        <v>2023_SA_Pinery_Lentil_DetailedTOSTOS1VarietyHallmarkXTWaterTrtRainFed</v>
      </c>
      <c r="B832">
        <v>2023024</v>
      </c>
      <c r="C832" t="s">
        <v>85</v>
      </c>
      <c r="D832">
        <v>6</v>
      </c>
      <c r="E832" t="s">
        <v>34</v>
      </c>
      <c r="F832" t="s">
        <v>131</v>
      </c>
      <c r="G832" t="s">
        <v>30</v>
      </c>
      <c r="I832">
        <v>1</v>
      </c>
      <c r="J832" t="s">
        <v>83</v>
      </c>
      <c r="K832" s="1">
        <v>45216</v>
      </c>
      <c r="L832">
        <v>699.96249999999895</v>
      </c>
      <c r="M832">
        <v>27.725633928939601</v>
      </c>
      <c r="N832">
        <v>0.376</v>
      </c>
      <c r="O832">
        <v>1.2999999999999999E-2</v>
      </c>
      <c r="P832">
        <v>6389</v>
      </c>
      <c r="Q832">
        <v>380</v>
      </c>
      <c r="T832">
        <v>6901</v>
      </c>
      <c r="U832">
        <v>450</v>
      </c>
      <c r="V832">
        <v>36.185000000000002</v>
      </c>
      <c r="W832">
        <v>1.2238177356450399</v>
      </c>
      <c r="X832">
        <v>263</v>
      </c>
      <c r="Y832">
        <v>12</v>
      </c>
    </row>
    <row r="833" spans="1:25" x14ac:dyDescent="0.25">
      <c r="A833" t="str">
        <f t="shared" si="12"/>
        <v>2023_SA_Pinery_Lentil_DetailedTOSTOS2VarietyHallmarkXTWaterTrtRainFed</v>
      </c>
      <c r="B833">
        <v>2023024</v>
      </c>
      <c r="C833" t="s">
        <v>85</v>
      </c>
      <c r="D833">
        <v>6</v>
      </c>
      <c r="E833" t="s">
        <v>34</v>
      </c>
      <c r="F833" t="s">
        <v>131</v>
      </c>
      <c r="G833" t="s">
        <v>30</v>
      </c>
      <c r="I833">
        <v>2</v>
      </c>
      <c r="J833" t="s">
        <v>84</v>
      </c>
      <c r="K833" s="1">
        <v>45231</v>
      </c>
      <c r="L833">
        <v>400.32250000000101</v>
      </c>
      <c r="M833">
        <v>27.725633928939601</v>
      </c>
      <c r="N833">
        <v>0.38500000000000001</v>
      </c>
      <c r="O833">
        <v>1.4999999999999999E-2</v>
      </c>
      <c r="P833">
        <v>2608</v>
      </c>
      <c r="Q833">
        <v>380</v>
      </c>
      <c r="T833">
        <v>2567</v>
      </c>
      <c r="U833">
        <v>300</v>
      </c>
      <c r="V833">
        <v>40.03</v>
      </c>
      <c r="W833">
        <v>1.2238177356450399</v>
      </c>
      <c r="X833">
        <v>139</v>
      </c>
      <c r="Y833">
        <v>12</v>
      </c>
    </row>
    <row r="834" spans="1:25" x14ac:dyDescent="0.25">
      <c r="A834" t="str">
        <f t="shared" si="12"/>
        <v>2023_SA_Pinery_Lentil_DetailedTOSTOS1VarietyJumbo2WaterTrtIrrigated</v>
      </c>
      <c r="B834">
        <v>2023024</v>
      </c>
      <c r="C834" t="s">
        <v>85</v>
      </c>
      <c r="D834">
        <v>6</v>
      </c>
      <c r="E834" t="s">
        <v>34</v>
      </c>
      <c r="F834" t="s">
        <v>132</v>
      </c>
      <c r="G834" t="s">
        <v>27</v>
      </c>
      <c r="I834">
        <v>1</v>
      </c>
      <c r="J834" t="s">
        <v>83</v>
      </c>
      <c r="K834" s="1">
        <v>45216</v>
      </c>
      <c r="L834">
        <v>779.32250000000602</v>
      </c>
      <c r="M834">
        <v>27.725633928939601</v>
      </c>
      <c r="N834">
        <v>0.30099999999999999</v>
      </c>
      <c r="O834">
        <v>1.2999999999999999E-2</v>
      </c>
      <c r="P834">
        <v>5775</v>
      </c>
      <c r="Q834">
        <v>380</v>
      </c>
      <c r="T834">
        <v>6714</v>
      </c>
      <c r="U834">
        <v>450</v>
      </c>
      <c r="V834">
        <v>32.481738881349699</v>
      </c>
      <c r="W834">
        <v>1.40893132010142</v>
      </c>
      <c r="X834">
        <v>234</v>
      </c>
      <c r="Y834">
        <v>12</v>
      </c>
    </row>
    <row r="835" spans="1:25" x14ac:dyDescent="0.25">
      <c r="A835" t="str">
        <f t="shared" ref="A835:A898" si="13">C835&amp;"TOSTOS"&amp;I835&amp;"Variety"&amp;F835&amp;"WaterTrt"&amp;G835&amp;IF(H835="","","Agronomy"&amp;H835)</f>
        <v>2023_SA_Pinery_Lentil_DetailedTOSTOS2VarietyJumbo2WaterTrtIrrigated</v>
      </c>
      <c r="B835">
        <v>2023024</v>
      </c>
      <c r="C835" t="s">
        <v>85</v>
      </c>
      <c r="D835">
        <v>6</v>
      </c>
      <c r="E835" t="s">
        <v>34</v>
      </c>
      <c r="F835" t="s">
        <v>132</v>
      </c>
      <c r="G835" t="s">
        <v>27</v>
      </c>
      <c r="I835">
        <v>2</v>
      </c>
      <c r="J835" t="s">
        <v>84</v>
      </c>
      <c r="K835" s="1">
        <v>45231</v>
      </c>
      <c r="L835">
        <v>456.53750000000002</v>
      </c>
      <c r="M835">
        <v>27.7256339289397</v>
      </c>
      <c r="N835">
        <v>0.33200000000000002</v>
      </c>
      <c r="O835">
        <v>1.2999999999999999E-2</v>
      </c>
      <c r="P835">
        <v>2995</v>
      </c>
      <c r="Q835">
        <v>380</v>
      </c>
      <c r="T835">
        <v>2546</v>
      </c>
      <c r="U835">
        <v>300</v>
      </c>
      <c r="V835">
        <v>43.692500000000003</v>
      </c>
      <c r="W835">
        <v>1.2238177356450399</v>
      </c>
      <c r="X835">
        <v>152</v>
      </c>
      <c r="Y835">
        <v>12</v>
      </c>
    </row>
    <row r="836" spans="1:25" x14ac:dyDescent="0.25">
      <c r="A836" t="str">
        <f t="shared" si="13"/>
        <v>2023_SA_Pinery_Lentil_DetailedTOSTOS1VarietyJumbo2WaterTrtRainFed</v>
      </c>
      <c r="B836">
        <v>2023024</v>
      </c>
      <c r="C836" t="s">
        <v>85</v>
      </c>
      <c r="D836">
        <v>6</v>
      </c>
      <c r="E836" t="s">
        <v>34</v>
      </c>
      <c r="F836" t="s">
        <v>132</v>
      </c>
      <c r="G836" t="s">
        <v>30</v>
      </c>
      <c r="I836">
        <v>1</v>
      </c>
      <c r="J836" t="s">
        <v>83</v>
      </c>
      <c r="K836" s="1">
        <v>45216</v>
      </c>
      <c r="L836">
        <v>682.57249999999897</v>
      </c>
      <c r="M836">
        <v>27.725633928939601</v>
      </c>
      <c r="N836">
        <v>0.38100000000000001</v>
      </c>
      <c r="O836">
        <v>1.2999999999999999E-2</v>
      </c>
      <c r="P836">
        <v>4707</v>
      </c>
      <c r="Q836">
        <v>380</v>
      </c>
      <c r="T836">
        <v>5867</v>
      </c>
      <c r="U836">
        <v>450</v>
      </c>
      <c r="V836">
        <v>36.805</v>
      </c>
      <c r="W836">
        <v>1.2238177356450399</v>
      </c>
      <c r="X836">
        <v>261</v>
      </c>
      <c r="Y836">
        <v>12</v>
      </c>
    </row>
    <row r="837" spans="1:25" x14ac:dyDescent="0.25">
      <c r="A837" t="str">
        <f t="shared" si="13"/>
        <v>2023_SA_Pinery_Lentil_DetailedTOSTOS2VarietyJumbo2WaterTrtRainFed</v>
      </c>
      <c r="B837">
        <v>2023024</v>
      </c>
      <c r="C837" t="s">
        <v>85</v>
      </c>
      <c r="D837">
        <v>6</v>
      </c>
      <c r="E837" t="s">
        <v>34</v>
      </c>
      <c r="F837" t="s">
        <v>132</v>
      </c>
      <c r="G837" t="s">
        <v>30</v>
      </c>
      <c r="I837">
        <v>2</v>
      </c>
      <c r="J837" t="s">
        <v>84</v>
      </c>
      <c r="K837" s="1">
        <v>45231</v>
      </c>
      <c r="L837">
        <v>372.97500000000002</v>
      </c>
      <c r="M837">
        <v>27.725633928939601</v>
      </c>
      <c r="N837">
        <v>0.33900000000000002</v>
      </c>
      <c r="O837">
        <v>1.2999999999999999E-2</v>
      </c>
      <c r="P837">
        <v>2600</v>
      </c>
      <c r="Q837">
        <v>380</v>
      </c>
      <c r="T837">
        <v>2110</v>
      </c>
      <c r="U837">
        <v>300</v>
      </c>
      <c r="V837">
        <v>43.832500000000003</v>
      </c>
      <c r="W837">
        <v>1.2238177356450399</v>
      </c>
      <c r="X837">
        <v>127</v>
      </c>
      <c r="Y837">
        <v>12</v>
      </c>
    </row>
    <row r="838" spans="1:25" x14ac:dyDescent="0.25">
      <c r="A838" t="str">
        <f t="shared" si="13"/>
        <v>2023_SA_Pinery_Lentil_DetailedTOSTOS1VarietyKelpieXTWaterTrtIrrigated</v>
      </c>
      <c r="B838">
        <v>2023024</v>
      </c>
      <c r="C838" t="s">
        <v>85</v>
      </c>
      <c r="D838">
        <v>6</v>
      </c>
      <c r="E838" t="s">
        <v>34</v>
      </c>
      <c r="F838" t="s">
        <v>133</v>
      </c>
      <c r="G838" t="s">
        <v>27</v>
      </c>
      <c r="I838">
        <v>1</v>
      </c>
      <c r="J838" t="s">
        <v>83</v>
      </c>
      <c r="K838" s="1">
        <v>45216</v>
      </c>
      <c r="L838">
        <v>785.24750000000597</v>
      </c>
      <c r="M838">
        <v>27.725633928939601</v>
      </c>
      <c r="N838">
        <v>0.36799999999999999</v>
      </c>
      <c r="O838">
        <v>1.2999999999999999E-2</v>
      </c>
      <c r="P838">
        <v>5403</v>
      </c>
      <c r="Q838">
        <v>380</v>
      </c>
      <c r="T838">
        <v>7442</v>
      </c>
      <c r="U838">
        <v>450</v>
      </c>
      <c r="V838">
        <v>35.344999999999899</v>
      </c>
      <c r="W838">
        <v>1.2238177356450399</v>
      </c>
      <c r="X838">
        <v>287</v>
      </c>
      <c r="Y838">
        <v>12</v>
      </c>
    </row>
    <row r="839" spans="1:25" x14ac:dyDescent="0.25">
      <c r="A839" t="str">
        <f t="shared" si="13"/>
        <v>2023_SA_Pinery_Lentil_DetailedTOSTOS2VarietyKelpieXTWaterTrtIrrigated</v>
      </c>
      <c r="B839">
        <v>2023024</v>
      </c>
      <c r="C839" t="s">
        <v>85</v>
      </c>
      <c r="D839">
        <v>6</v>
      </c>
      <c r="E839" t="s">
        <v>34</v>
      </c>
      <c r="F839" t="s">
        <v>133</v>
      </c>
      <c r="G839" t="s">
        <v>27</v>
      </c>
      <c r="I839">
        <v>2</v>
      </c>
      <c r="J839" t="s">
        <v>84</v>
      </c>
      <c r="K839" s="1">
        <v>45231</v>
      </c>
      <c r="L839">
        <v>412.09249999999997</v>
      </c>
      <c r="M839">
        <v>27.7256339289397</v>
      </c>
      <c r="N839">
        <v>0.38500000000000001</v>
      </c>
      <c r="O839">
        <v>1.2999999999999999E-2</v>
      </c>
      <c r="P839">
        <v>2170</v>
      </c>
      <c r="Q839">
        <v>380</v>
      </c>
      <c r="T839">
        <v>2567</v>
      </c>
      <c r="U839">
        <v>300</v>
      </c>
      <c r="V839">
        <v>42.97</v>
      </c>
      <c r="W839">
        <v>1.2238177356450399</v>
      </c>
      <c r="X839">
        <v>159</v>
      </c>
      <c r="Y839">
        <v>12</v>
      </c>
    </row>
    <row r="840" spans="1:25" x14ac:dyDescent="0.25">
      <c r="A840" t="str">
        <f t="shared" si="13"/>
        <v>2023_SA_Pinery_Lentil_DetailedTOSTOS1VarietyKelpieXTWaterTrtRainFed</v>
      </c>
      <c r="B840">
        <v>2023024</v>
      </c>
      <c r="C840" t="s">
        <v>85</v>
      </c>
      <c r="D840">
        <v>6</v>
      </c>
      <c r="E840" t="s">
        <v>34</v>
      </c>
      <c r="F840" t="s">
        <v>133</v>
      </c>
      <c r="G840" t="s">
        <v>30</v>
      </c>
      <c r="I840">
        <v>1</v>
      </c>
      <c r="J840" t="s">
        <v>83</v>
      </c>
      <c r="K840" s="1">
        <v>45216</v>
      </c>
      <c r="L840">
        <v>642.44749999999897</v>
      </c>
      <c r="M840">
        <v>27.725633928939601</v>
      </c>
      <c r="N840">
        <v>0.438</v>
      </c>
      <c r="O840">
        <v>1.2999999999999999E-2</v>
      </c>
      <c r="P840">
        <v>5032</v>
      </c>
      <c r="Q840">
        <v>380</v>
      </c>
      <c r="T840">
        <v>7045</v>
      </c>
      <c r="U840">
        <v>450</v>
      </c>
      <c r="V840">
        <v>35.424999999999997</v>
      </c>
      <c r="W840">
        <v>1.2238177356450399</v>
      </c>
      <c r="X840">
        <v>282</v>
      </c>
      <c r="Y840">
        <v>12</v>
      </c>
    </row>
    <row r="841" spans="1:25" x14ac:dyDescent="0.25">
      <c r="A841" t="str">
        <f t="shared" si="13"/>
        <v>2023_SA_Pinery_Lentil_DetailedTOSTOS2VarietyKelpieXTWaterTrtRainFed</v>
      </c>
      <c r="B841">
        <v>2023024</v>
      </c>
      <c r="C841" t="s">
        <v>85</v>
      </c>
      <c r="D841">
        <v>6</v>
      </c>
      <c r="E841" t="s">
        <v>34</v>
      </c>
      <c r="F841" t="s">
        <v>133</v>
      </c>
      <c r="G841" t="s">
        <v>30</v>
      </c>
      <c r="I841">
        <v>2</v>
      </c>
      <c r="J841" t="s">
        <v>84</v>
      </c>
      <c r="K841" s="1">
        <v>45231</v>
      </c>
      <c r="L841">
        <v>335.89</v>
      </c>
      <c r="M841">
        <v>27.725633928939601</v>
      </c>
      <c r="N841">
        <v>0.36499999999999999</v>
      </c>
      <c r="O841">
        <v>1.2999999999999999E-2</v>
      </c>
      <c r="P841">
        <v>1493</v>
      </c>
      <c r="Q841">
        <v>380</v>
      </c>
      <c r="T841">
        <v>1671</v>
      </c>
      <c r="U841">
        <v>300</v>
      </c>
      <c r="V841">
        <v>43.83</v>
      </c>
      <c r="W841">
        <v>1.2238177356450399</v>
      </c>
      <c r="X841">
        <v>123</v>
      </c>
      <c r="Y841">
        <v>12</v>
      </c>
    </row>
    <row r="842" spans="1:25" hidden="1" x14ac:dyDescent="0.25">
      <c r="A842" t="str">
        <f t="shared" si="13"/>
        <v>2023_Vic_Dooen_Chickpea_DetailedTOSTOS1VarietyCBA_CaptainWaterTrtIrrigated</v>
      </c>
      <c r="B842">
        <v>2023025</v>
      </c>
      <c r="C842" t="s">
        <v>86</v>
      </c>
      <c r="D842">
        <v>2</v>
      </c>
      <c r="E842" t="s">
        <v>25</v>
      </c>
      <c r="F842" t="s">
        <v>26</v>
      </c>
      <c r="G842" t="s">
        <v>27</v>
      </c>
      <c r="I842">
        <v>1</v>
      </c>
      <c r="J842" t="s">
        <v>87</v>
      </c>
      <c r="K842" s="1">
        <v>45124</v>
      </c>
      <c r="L842">
        <v>10.3</v>
      </c>
      <c r="M842">
        <v>1.1000000000000001</v>
      </c>
    </row>
    <row r="843" spans="1:25" hidden="1" x14ac:dyDescent="0.25">
      <c r="A843" t="str">
        <f t="shared" si="13"/>
        <v>2023_Vic_Dooen_Chickpea_DetailedTOSTOS2VarietyCBA_CaptainWaterTrtIrrigated</v>
      </c>
      <c r="B843">
        <v>2023025</v>
      </c>
      <c r="C843" t="s">
        <v>86</v>
      </c>
      <c r="D843">
        <v>2</v>
      </c>
      <c r="E843" t="s">
        <v>25</v>
      </c>
      <c r="F843" t="s">
        <v>26</v>
      </c>
      <c r="G843" t="s">
        <v>27</v>
      </c>
      <c r="I843">
        <v>2</v>
      </c>
      <c r="J843" t="s">
        <v>81</v>
      </c>
      <c r="K843" s="1">
        <v>45168</v>
      </c>
      <c r="L843">
        <v>11.6</v>
      </c>
      <c r="M843">
        <v>1.1000000000000001</v>
      </c>
    </row>
    <row r="844" spans="1:25" hidden="1" x14ac:dyDescent="0.25">
      <c r="A844" t="str">
        <f t="shared" si="13"/>
        <v>2023_Vic_Dooen_Chickpea_DetailedTOSTOS1VarietyCBA_CaptainWaterTrtRainFed</v>
      </c>
      <c r="B844">
        <v>2023025</v>
      </c>
      <c r="C844" t="s">
        <v>86</v>
      </c>
      <c r="D844">
        <v>2</v>
      </c>
      <c r="E844" t="s">
        <v>25</v>
      </c>
      <c r="F844" t="s">
        <v>26</v>
      </c>
      <c r="G844" t="s">
        <v>30</v>
      </c>
      <c r="I844">
        <v>1</v>
      </c>
      <c r="J844" t="s">
        <v>87</v>
      </c>
      <c r="K844" s="1">
        <v>45124</v>
      </c>
      <c r="L844">
        <v>10.8</v>
      </c>
      <c r="M844">
        <v>1.1000000000000001</v>
      </c>
    </row>
    <row r="845" spans="1:25" hidden="1" x14ac:dyDescent="0.25">
      <c r="A845" t="str">
        <f t="shared" si="13"/>
        <v>2023_Vic_Dooen_Chickpea_DetailedTOSTOS2VarietyCBA_CaptainWaterTrtRainFed</v>
      </c>
      <c r="B845">
        <v>2023025</v>
      </c>
      <c r="C845" t="s">
        <v>86</v>
      </c>
      <c r="D845">
        <v>2</v>
      </c>
      <c r="E845" t="s">
        <v>25</v>
      </c>
      <c r="F845" t="s">
        <v>26</v>
      </c>
      <c r="G845" t="s">
        <v>30</v>
      </c>
      <c r="I845">
        <v>2</v>
      </c>
      <c r="J845" t="s">
        <v>81</v>
      </c>
      <c r="K845" s="1">
        <v>45168</v>
      </c>
      <c r="L845">
        <v>8.8000000000000007</v>
      </c>
      <c r="M845">
        <v>1.1000000000000001</v>
      </c>
    </row>
    <row r="846" spans="1:25" hidden="1" x14ac:dyDescent="0.25">
      <c r="A846" t="str">
        <f t="shared" si="13"/>
        <v>2023_Vic_Dooen_Chickpea_DetailedTOSTOS1VarietyDrummondWaterTrtIrrigated</v>
      </c>
      <c r="B846">
        <v>2023025</v>
      </c>
      <c r="C846" t="s">
        <v>86</v>
      </c>
      <c r="D846">
        <v>2</v>
      </c>
      <c r="E846" t="s">
        <v>25</v>
      </c>
      <c r="F846" t="s">
        <v>123</v>
      </c>
      <c r="G846" t="s">
        <v>27</v>
      </c>
      <c r="I846">
        <v>1</v>
      </c>
      <c r="J846" t="s">
        <v>87</v>
      </c>
      <c r="K846" s="1">
        <v>45124</v>
      </c>
      <c r="L846">
        <v>7.4</v>
      </c>
      <c r="M846">
        <v>1.1000000000000001</v>
      </c>
    </row>
    <row r="847" spans="1:25" hidden="1" x14ac:dyDescent="0.25">
      <c r="A847" t="str">
        <f t="shared" si="13"/>
        <v>2023_Vic_Dooen_Chickpea_DetailedTOSTOS2VarietyDrummondWaterTrtIrrigated</v>
      </c>
      <c r="B847">
        <v>2023025</v>
      </c>
      <c r="C847" t="s">
        <v>86</v>
      </c>
      <c r="D847">
        <v>2</v>
      </c>
      <c r="E847" t="s">
        <v>25</v>
      </c>
      <c r="F847" t="s">
        <v>123</v>
      </c>
      <c r="G847" t="s">
        <v>27</v>
      </c>
      <c r="I847">
        <v>2</v>
      </c>
      <c r="J847" t="s">
        <v>81</v>
      </c>
      <c r="K847" s="1">
        <v>45168</v>
      </c>
      <c r="L847">
        <v>7.3</v>
      </c>
      <c r="M847">
        <v>1.1000000000000001</v>
      </c>
    </row>
    <row r="848" spans="1:25" hidden="1" x14ac:dyDescent="0.25">
      <c r="A848" t="str">
        <f t="shared" si="13"/>
        <v>2023_Vic_Dooen_Chickpea_DetailedTOSTOS1VarietyDrummondWaterTrtRainFed</v>
      </c>
      <c r="B848">
        <v>2023025</v>
      </c>
      <c r="C848" t="s">
        <v>86</v>
      </c>
      <c r="D848">
        <v>2</v>
      </c>
      <c r="E848" t="s">
        <v>25</v>
      </c>
      <c r="F848" t="s">
        <v>123</v>
      </c>
      <c r="G848" t="s">
        <v>30</v>
      </c>
      <c r="I848">
        <v>1</v>
      </c>
      <c r="J848" t="s">
        <v>87</v>
      </c>
      <c r="K848" s="1">
        <v>45124</v>
      </c>
      <c r="L848">
        <v>7.6</v>
      </c>
      <c r="M848">
        <v>1.1000000000000001</v>
      </c>
    </row>
    <row r="849" spans="1:13" hidden="1" x14ac:dyDescent="0.25">
      <c r="A849" t="str">
        <f t="shared" si="13"/>
        <v>2023_Vic_Dooen_Chickpea_DetailedTOSTOS2VarietyDrummondWaterTrtRainFed</v>
      </c>
      <c r="B849">
        <v>2023025</v>
      </c>
      <c r="C849" t="s">
        <v>86</v>
      </c>
      <c r="D849">
        <v>2</v>
      </c>
      <c r="E849" t="s">
        <v>25</v>
      </c>
      <c r="F849" t="s">
        <v>123</v>
      </c>
      <c r="G849" t="s">
        <v>30</v>
      </c>
      <c r="I849">
        <v>2</v>
      </c>
      <c r="J849" t="s">
        <v>81</v>
      </c>
      <c r="K849" s="1">
        <v>45168</v>
      </c>
      <c r="L849">
        <v>7.5</v>
      </c>
      <c r="M849">
        <v>1.1000000000000001</v>
      </c>
    </row>
    <row r="850" spans="1:13" hidden="1" x14ac:dyDescent="0.25">
      <c r="A850" t="str">
        <f t="shared" si="13"/>
        <v>2023_Vic_Dooen_Chickpea_DetailedTOSTOS1VarietyHatTrickWaterTrtIrrigated</v>
      </c>
      <c r="B850">
        <v>2023025</v>
      </c>
      <c r="C850" t="s">
        <v>86</v>
      </c>
      <c r="D850">
        <v>2</v>
      </c>
      <c r="E850" t="s">
        <v>25</v>
      </c>
      <c r="F850" t="s">
        <v>124</v>
      </c>
      <c r="G850" t="s">
        <v>27</v>
      </c>
      <c r="I850">
        <v>1</v>
      </c>
      <c r="J850" t="s">
        <v>87</v>
      </c>
      <c r="K850" s="1">
        <v>45124</v>
      </c>
      <c r="L850">
        <v>6.1</v>
      </c>
      <c r="M850">
        <v>1.1000000000000001</v>
      </c>
    </row>
    <row r="851" spans="1:13" hidden="1" x14ac:dyDescent="0.25">
      <c r="A851" t="str">
        <f t="shared" si="13"/>
        <v>2023_Vic_Dooen_Chickpea_DetailedTOSTOS2VarietyHatTrickWaterTrtIrrigated</v>
      </c>
      <c r="B851">
        <v>2023025</v>
      </c>
      <c r="C851" t="s">
        <v>86</v>
      </c>
      <c r="D851">
        <v>2</v>
      </c>
      <c r="E851" t="s">
        <v>25</v>
      </c>
      <c r="F851" t="s">
        <v>124</v>
      </c>
      <c r="G851" t="s">
        <v>27</v>
      </c>
      <c r="I851">
        <v>2</v>
      </c>
      <c r="J851" t="s">
        <v>81</v>
      </c>
      <c r="K851" s="1">
        <v>45168</v>
      </c>
      <c r="L851">
        <v>6</v>
      </c>
      <c r="M851">
        <v>1.2</v>
      </c>
    </row>
    <row r="852" spans="1:13" hidden="1" x14ac:dyDescent="0.25">
      <c r="A852" t="str">
        <f t="shared" si="13"/>
        <v>2023_Vic_Dooen_Chickpea_DetailedTOSTOS1VarietyHatTrickWaterTrtRainFed</v>
      </c>
      <c r="B852">
        <v>2023025</v>
      </c>
      <c r="C852" t="s">
        <v>86</v>
      </c>
      <c r="D852">
        <v>2</v>
      </c>
      <c r="E852" t="s">
        <v>25</v>
      </c>
      <c r="F852" t="s">
        <v>124</v>
      </c>
      <c r="G852" t="s">
        <v>30</v>
      </c>
      <c r="I852">
        <v>1</v>
      </c>
      <c r="J852" t="s">
        <v>87</v>
      </c>
      <c r="K852" s="1">
        <v>45124</v>
      </c>
      <c r="L852">
        <v>6.3</v>
      </c>
      <c r="M852">
        <v>1.2</v>
      </c>
    </row>
    <row r="853" spans="1:13" hidden="1" x14ac:dyDescent="0.25">
      <c r="A853" t="str">
        <f t="shared" si="13"/>
        <v>2023_Vic_Dooen_Chickpea_DetailedTOSTOS2VarietyHatTrickWaterTrtRainFed</v>
      </c>
      <c r="B853">
        <v>2023025</v>
      </c>
      <c r="C853" t="s">
        <v>86</v>
      </c>
      <c r="D853">
        <v>2</v>
      </c>
      <c r="E853" t="s">
        <v>25</v>
      </c>
      <c r="F853" t="s">
        <v>124</v>
      </c>
      <c r="G853" t="s">
        <v>30</v>
      </c>
      <c r="I853">
        <v>2</v>
      </c>
      <c r="J853" t="s">
        <v>81</v>
      </c>
      <c r="K853" s="1">
        <v>45168</v>
      </c>
      <c r="L853">
        <v>6.8</v>
      </c>
      <c r="M853">
        <v>1.2</v>
      </c>
    </row>
    <row r="854" spans="1:13" hidden="1" x14ac:dyDescent="0.25">
      <c r="A854" t="str">
        <f t="shared" si="13"/>
        <v>2023_Vic_Dooen_Chickpea_DetailedTOSTOS1VarietyStrikerWaterTrtIrrigated</v>
      </c>
      <c r="B854">
        <v>2023025</v>
      </c>
      <c r="C854" t="s">
        <v>86</v>
      </c>
      <c r="D854">
        <v>2</v>
      </c>
      <c r="E854" t="s">
        <v>25</v>
      </c>
      <c r="F854" t="s">
        <v>125</v>
      </c>
      <c r="G854" t="s">
        <v>27</v>
      </c>
      <c r="I854">
        <v>1</v>
      </c>
      <c r="J854" t="s">
        <v>87</v>
      </c>
      <c r="K854" s="1">
        <v>45124</v>
      </c>
      <c r="L854">
        <v>12.6</v>
      </c>
      <c r="M854">
        <v>1.1000000000000001</v>
      </c>
    </row>
    <row r="855" spans="1:13" hidden="1" x14ac:dyDescent="0.25">
      <c r="A855" t="str">
        <f t="shared" si="13"/>
        <v>2023_Vic_Dooen_Chickpea_DetailedTOSTOS2VarietyStrikerWaterTrtIrrigated</v>
      </c>
      <c r="B855">
        <v>2023025</v>
      </c>
      <c r="C855" t="s">
        <v>86</v>
      </c>
      <c r="D855">
        <v>2</v>
      </c>
      <c r="E855" t="s">
        <v>25</v>
      </c>
      <c r="F855" t="s">
        <v>125</v>
      </c>
      <c r="G855" t="s">
        <v>27</v>
      </c>
      <c r="I855">
        <v>2</v>
      </c>
      <c r="J855" t="s">
        <v>81</v>
      </c>
      <c r="K855" s="1">
        <v>45168</v>
      </c>
      <c r="L855">
        <v>11</v>
      </c>
      <c r="M855">
        <v>1.1000000000000001</v>
      </c>
    </row>
    <row r="856" spans="1:13" hidden="1" x14ac:dyDescent="0.25">
      <c r="A856" t="str">
        <f t="shared" si="13"/>
        <v>2023_Vic_Dooen_Chickpea_DetailedTOSTOS1VarietyStrikerWaterTrtRainFed</v>
      </c>
      <c r="B856">
        <v>2023025</v>
      </c>
      <c r="C856" t="s">
        <v>86</v>
      </c>
      <c r="D856">
        <v>2</v>
      </c>
      <c r="E856" t="s">
        <v>25</v>
      </c>
      <c r="F856" t="s">
        <v>125</v>
      </c>
      <c r="G856" t="s">
        <v>30</v>
      </c>
      <c r="I856">
        <v>1</v>
      </c>
      <c r="J856" t="s">
        <v>87</v>
      </c>
      <c r="K856" s="1">
        <v>45124</v>
      </c>
      <c r="L856">
        <v>12.4</v>
      </c>
      <c r="M856">
        <v>1.1000000000000001</v>
      </c>
    </row>
    <row r="857" spans="1:13" hidden="1" x14ac:dyDescent="0.25">
      <c r="A857" t="str">
        <f t="shared" si="13"/>
        <v>2023_Vic_Dooen_Chickpea_DetailedTOSTOS2VarietyStrikerWaterTrtRainFed</v>
      </c>
      <c r="B857">
        <v>2023025</v>
      </c>
      <c r="C857" t="s">
        <v>86</v>
      </c>
      <c r="D857">
        <v>2</v>
      </c>
      <c r="E857" t="s">
        <v>25</v>
      </c>
      <c r="F857" t="s">
        <v>125</v>
      </c>
      <c r="G857" t="s">
        <v>30</v>
      </c>
      <c r="I857">
        <v>2</v>
      </c>
      <c r="J857" t="s">
        <v>81</v>
      </c>
      <c r="K857" s="1">
        <v>45168</v>
      </c>
      <c r="L857">
        <v>12.8</v>
      </c>
      <c r="M857">
        <v>1.1000000000000001</v>
      </c>
    </row>
    <row r="858" spans="1:13" hidden="1" x14ac:dyDescent="0.25">
      <c r="A858" t="str">
        <f t="shared" si="13"/>
        <v>2023_Vic_Dooen_Chickpea_DetailedTOSTOS1VarietyCBA_CaptainWaterTrtIrrigated</v>
      </c>
      <c r="B858">
        <v>2023025</v>
      </c>
      <c r="C858" t="s">
        <v>86</v>
      </c>
      <c r="D858">
        <v>3</v>
      </c>
      <c r="E858" t="s">
        <v>31</v>
      </c>
      <c r="F858" t="s">
        <v>26</v>
      </c>
      <c r="G858" t="s">
        <v>27</v>
      </c>
      <c r="I858">
        <v>1</v>
      </c>
      <c r="J858" t="s">
        <v>87</v>
      </c>
      <c r="K858" s="1">
        <v>45155</v>
      </c>
      <c r="L858">
        <v>29.8</v>
      </c>
      <c r="M858">
        <v>3.1</v>
      </c>
    </row>
    <row r="859" spans="1:13" hidden="1" x14ac:dyDescent="0.25">
      <c r="A859" t="str">
        <f t="shared" si="13"/>
        <v>2023_Vic_Dooen_Chickpea_DetailedTOSTOS2VarietyCBA_CaptainWaterTrtIrrigated</v>
      </c>
      <c r="B859">
        <v>2023025</v>
      </c>
      <c r="C859" t="s">
        <v>86</v>
      </c>
      <c r="D859">
        <v>3</v>
      </c>
      <c r="E859" t="s">
        <v>31</v>
      </c>
      <c r="F859" t="s">
        <v>26</v>
      </c>
      <c r="G859" t="s">
        <v>27</v>
      </c>
      <c r="I859">
        <v>2</v>
      </c>
      <c r="J859" t="s">
        <v>81</v>
      </c>
      <c r="K859" s="1">
        <v>45189</v>
      </c>
      <c r="L859">
        <v>43.5</v>
      </c>
      <c r="M859">
        <v>3.1</v>
      </c>
    </row>
    <row r="860" spans="1:13" hidden="1" x14ac:dyDescent="0.25">
      <c r="A860" t="str">
        <f t="shared" si="13"/>
        <v>2023_Vic_Dooen_Chickpea_DetailedTOSTOS1VarietyCBA_CaptainWaterTrtRainFed</v>
      </c>
      <c r="B860">
        <v>2023025</v>
      </c>
      <c r="C860" t="s">
        <v>86</v>
      </c>
      <c r="D860">
        <v>3</v>
      </c>
      <c r="E860" t="s">
        <v>31</v>
      </c>
      <c r="F860" t="s">
        <v>26</v>
      </c>
      <c r="G860" t="s">
        <v>30</v>
      </c>
      <c r="I860">
        <v>1</v>
      </c>
      <c r="J860" t="s">
        <v>87</v>
      </c>
      <c r="K860" s="1">
        <v>45155</v>
      </c>
      <c r="L860">
        <v>29.3</v>
      </c>
      <c r="M860">
        <v>3.1</v>
      </c>
    </row>
    <row r="861" spans="1:13" hidden="1" x14ac:dyDescent="0.25">
      <c r="A861" t="str">
        <f t="shared" si="13"/>
        <v>2023_Vic_Dooen_Chickpea_DetailedTOSTOS2VarietyCBA_CaptainWaterTrtRainFed</v>
      </c>
      <c r="B861">
        <v>2023025</v>
      </c>
      <c r="C861" t="s">
        <v>86</v>
      </c>
      <c r="D861">
        <v>3</v>
      </c>
      <c r="E861" t="s">
        <v>31</v>
      </c>
      <c r="F861" t="s">
        <v>26</v>
      </c>
      <c r="G861" t="s">
        <v>30</v>
      </c>
      <c r="I861">
        <v>2</v>
      </c>
      <c r="J861" t="s">
        <v>81</v>
      </c>
      <c r="K861" s="1">
        <v>45189</v>
      </c>
      <c r="L861">
        <v>35.299999999999997</v>
      </c>
      <c r="M861">
        <v>3.1</v>
      </c>
    </row>
    <row r="862" spans="1:13" hidden="1" x14ac:dyDescent="0.25">
      <c r="A862" t="str">
        <f t="shared" si="13"/>
        <v>2023_Vic_Dooen_Chickpea_DetailedTOSTOS1VarietyDrummondWaterTrtIrrigated</v>
      </c>
      <c r="B862">
        <v>2023025</v>
      </c>
      <c r="C862" t="s">
        <v>86</v>
      </c>
      <c r="D862">
        <v>3</v>
      </c>
      <c r="E862" t="s">
        <v>31</v>
      </c>
      <c r="F862" t="s">
        <v>123</v>
      </c>
      <c r="G862" t="s">
        <v>27</v>
      </c>
      <c r="I862">
        <v>1</v>
      </c>
      <c r="J862" t="s">
        <v>87</v>
      </c>
      <c r="K862" s="1">
        <v>45155</v>
      </c>
      <c r="L862">
        <v>25.4</v>
      </c>
      <c r="M862">
        <v>3.1</v>
      </c>
    </row>
    <row r="863" spans="1:13" hidden="1" x14ac:dyDescent="0.25">
      <c r="A863" t="str">
        <f t="shared" si="13"/>
        <v>2023_Vic_Dooen_Chickpea_DetailedTOSTOS2VarietyDrummondWaterTrtIrrigated</v>
      </c>
      <c r="B863">
        <v>2023025</v>
      </c>
      <c r="C863" t="s">
        <v>86</v>
      </c>
      <c r="D863">
        <v>3</v>
      </c>
      <c r="E863" t="s">
        <v>31</v>
      </c>
      <c r="F863" t="s">
        <v>123</v>
      </c>
      <c r="G863" t="s">
        <v>27</v>
      </c>
      <c r="I863">
        <v>2</v>
      </c>
      <c r="J863" t="s">
        <v>81</v>
      </c>
      <c r="K863" s="1">
        <v>45189</v>
      </c>
      <c r="L863">
        <v>35.200000000000003</v>
      </c>
      <c r="M863">
        <v>3.1</v>
      </c>
    </row>
    <row r="864" spans="1:13" hidden="1" x14ac:dyDescent="0.25">
      <c r="A864" t="str">
        <f t="shared" si="13"/>
        <v>2023_Vic_Dooen_Chickpea_DetailedTOSTOS1VarietyDrummondWaterTrtRainFed</v>
      </c>
      <c r="B864">
        <v>2023025</v>
      </c>
      <c r="C864" t="s">
        <v>86</v>
      </c>
      <c r="D864">
        <v>3</v>
      </c>
      <c r="E864" t="s">
        <v>31</v>
      </c>
      <c r="F864" t="s">
        <v>123</v>
      </c>
      <c r="G864" t="s">
        <v>30</v>
      </c>
      <c r="I864">
        <v>1</v>
      </c>
      <c r="J864" t="s">
        <v>87</v>
      </c>
      <c r="K864" s="1">
        <v>45155</v>
      </c>
      <c r="L864">
        <v>19.3</v>
      </c>
      <c r="M864">
        <v>3.1</v>
      </c>
    </row>
    <row r="865" spans="1:13" hidden="1" x14ac:dyDescent="0.25">
      <c r="A865" t="str">
        <f t="shared" si="13"/>
        <v>2023_Vic_Dooen_Chickpea_DetailedTOSTOS2VarietyDrummondWaterTrtRainFed</v>
      </c>
      <c r="B865">
        <v>2023025</v>
      </c>
      <c r="C865" t="s">
        <v>86</v>
      </c>
      <c r="D865">
        <v>3</v>
      </c>
      <c r="E865" t="s">
        <v>31</v>
      </c>
      <c r="F865" t="s">
        <v>123</v>
      </c>
      <c r="G865" t="s">
        <v>30</v>
      </c>
      <c r="I865">
        <v>2</v>
      </c>
      <c r="J865" t="s">
        <v>81</v>
      </c>
      <c r="K865" s="1">
        <v>45189</v>
      </c>
      <c r="L865">
        <v>30.9</v>
      </c>
      <c r="M865">
        <v>3.1</v>
      </c>
    </row>
    <row r="866" spans="1:13" hidden="1" x14ac:dyDescent="0.25">
      <c r="A866" t="str">
        <f t="shared" si="13"/>
        <v>2023_Vic_Dooen_Chickpea_DetailedTOSTOS1VarietyHatTrickWaterTrtIrrigated</v>
      </c>
      <c r="B866">
        <v>2023025</v>
      </c>
      <c r="C866" t="s">
        <v>86</v>
      </c>
      <c r="D866">
        <v>3</v>
      </c>
      <c r="E866" t="s">
        <v>31</v>
      </c>
      <c r="F866" t="s">
        <v>124</v>
      </c>
      <c r="G866" t="s">
        <v>27</v>
      </c>
      <c r="I866">
        <v>1</v>
      </c>
      <c r="J866" t="s">
        <v>87</v>
      </c>
      <c r="K866" s="1">
        <v>45155</v>
      </c>
      <c r="L866">
        <v>21</v>
      </c>
      <c r="M866">
        <v>3.1</v>
      </c>
    </row>
    <row r="867" spans="1:13" hidden="1" x14ac:dyDescent="0.25">
      <c r="A867" t="str">
        <f t="shared" si="13"/>
        <v>2023_Vic_Dooen_Chickpea_DetailedTOSTOS2VarietyHatTrickWaterTrtIrrigated</v>
      </c>
      <c r="B867">
        <v>2023025</v>
      </c>
      <c r="C867" t="s">
        <v>86</v>
      </c>
      <c r="D867">
        <v>3</v>
      </c>
      <c r="E867" t="s">
        <v>31</v>
      </c>
      <c r="F867" t="s">
        <v>124</v>
      </c>
      <c r="G867" t="s">
        <v>27</v>
      </c>
      <c r="I867">
        <v>2</v>
      </c>
      <c r="J867" t="s">
        <v>81</v>
      </c>
      <c r="K867" s="1">
        <v>45189</v>
      </c>
      <c r="L867">
        <v>27.7</v>
      </c>
      <c r="M867">
        <v>3.1</v>
      </c>
    </row>
    <row r="868" spans="1:13" hidden="1" x14ac:dyDescent="0.25">
      <c r="A868" t="str">
        <f t="shared" si="13"/>
        <v>2023_Vic_Dooen_Chickpea_DetailedTOSTOS1VarietyHatTrickWaterTrtRainFed</v>
      </c>
      <c r="B868">
        <v>2023025</v>
      </c>
      <c r="C868" t="s">
        <v>86</v>
      </c>
      <c r="D868">
        <v>3</v>
      </c>
      <c r="E868" t="s">
        <v>31</v>
      </c>
      <c r="F868" t="s">
        <v>124</v>
      </c>
      <c r="G868" t="s">
        <v>30</v>
      </c>
      <c r="I868">
        <v>1</v>
      </c>
      <c r="J868" t="s">
        <v>87</v>
      </c>
      <c r="K868" s="1">
        <v>45155</v>
      </c>
      <c r="L868">
        <v>21.1</v>
      </c>
      <c r="M868">
        <v>3.1</v>
      </c>
    </row>
    <row r="869" spans="1:13" hidden="1" x14ac:dyDescent="0.25">
      <c r="A869" t="str">
        <f t="shared" si="13"/>
        <v>2023_Vic_Dooen_Chickpea_DetailedTOSTOS2VarietyHatTrickWaterTrtRainFed</v>
      </c>
      <c r="B869">
        <v>2023025</v>
      </c>
      <c r="C869" t="s">
        <v>86</v>
      </c>
      <c r="D869">
        <v>3</v>
      </c>
      <c r="E869" t="s">
        <v>31</v>
      </c>
      <c r="F869" t="s">
        <v>124</v>
      </c>
      <c r="G869" t="s">
        <v>30</v>
      </c>
      <c r="I869">
        <v>2</v>
      </c>
      <c r="J869" t="s">
        <v>81</v>
      </c>
      <c r="K869" s="1">
        <v>45189</v>
      </c>
      <c r="L869">
        <v>21.9</v>
      </c>
      <c r="M869">
        <v>3.1</v>
      </c>
    </row>
    <row r="870" spans="1:13" hidden="1" x14ac:dyDescent="0.25">
      <c r="A870" t="str">
        <f t="shared" si="13"/>
        <v>2023_Vic_Dooen_Chickpea_DetailedTOSTOS1VarietyStrikerWaterTrtIrrigated</v>
      </c>
      <c r="B870">
        <v>2023025</v>
      </c>
      <c r="C870" t="s">
        <v>86</v>
      </c>
      <c r="D870">
        <v>3</v>
      </c>
      <c r="E870" t="s">
        <v>31</v>
      </c>
      <c r="F870" t="s">
        <v>125</v>
      </c>
      <c r="G870" t="s">
        <v>27</v>
      </c>
      <c r="I870">
        <v>1</v>
      </c>
      <c r="J870" t="s">
        <v>87</v>
      </c>
      <c r="K870" s="1">
        <v>45155</v>
      </c>
      <c r="L870">
        <v>25.6</v>
      </c>
      <c r="M870">
        <v>3.1</v>
      </c>
    </row>
    <row r="871" spans="1:13" hidden="1" x14ac:dyDescent="0.25">
      <c r="A871" t="str">
        <f t="shared" si="13"/>
        <v>2023_Vic_Dooen_Chickpea_DetailedTOSTOS2VarietyStrikerWaterTrtIrrigated</v>
      </c>
      <c r="B871">
        <v>2023025</v>
      </c>
      <c r="C871" t="s">
        <v>86</v>
      </c>
      <c r="D871">
        <v>3</v>
      </c>
      <c r="E871" t="s">
        <v>31</v>
      </c>
      <c r="F871" t="s">
        <v>125</v>
      </c>
      <c r="G871" t="s">
        <v>27</v>
      </c>
      <c r="I871">
        <v>2</v>
      </c>
      <c r="J871" t="s">
        <v>81</v>
      </c>
      <c r="K871" s="1">
        <v>45189</v>
      </c>
      <c r="L871">
        <v>41.6</v>
      </c>
      <c r="M871">
        <v>3.1</v>
      </c>
    </row>
    <row r="872" spans="1:13" hidden="1" x14ac:dyDescent="0.25">
      <c r="A872" t="str">
        <f t="shared" si="13"/>
        <v>2023_Vic_Dooen_Chickpea_DetailedTOSTOS1VarietyStrikerWaterTrtRainFed</v>
      </c>
      <c r="B872">
        <v>2023025</v>
      </c>
      <c r="C872" t="s">
        <v>86</v>
      </c>
      <c r="D872">
        <v>3</v>
      </c>
      <c r="E872" t="s">
        <v>31</v>
      </c>
      <c r="F872" t="s">
        <v>125</v>
      </c>
      <c r="G872" t="s">
        <v>30</v>
      </c>
      <c r="I872">
        <v>1</v>
      </c>
      <c r="J872" t="s">
        <v>87</v>
      </c>
      <c r="K872" s="1">
        <v>45155</v>
      </c>
      <c r="L872">
        <v>32</v>
      </c>
      <c r="M872">
        <v>3.1</v>
      </c>
    </row>
    <row r="873" spans="1:13" hidden="1" x14ac:dyDescent="0.25">
      <c r="A873" t="str">
        <f t="shared" si="13"/>
        <v>2023_Vic_Dooen_Chickpea_DetailedTOSTOS2VarietyStrikerWaterTrtRainFed</v>
      </c>
      <c r="B873">
        <v>2023025</v>
      </c>
      <c r="C873" t="s">
        <v>86</v>
      </c>
      <c r="D873">
        <v>3</v>
      </c>
      <c r="E873" t="s">
        <v>31</v>
      </c>
      <c r="F873" t="s">
        <v>125</v>
      </c>
      <c r="G873" t="s">
        <v>30</v>
      </c>
      <c r="I873">
        <v>2</v>
      </c>
      <c r="J873" t="s">
        <v>81</v>
      </c>
      <c r="K873" s="1">
        <v>45189</v>
      </c>
      <c r="L873">
        <v>30.6</v>
      </c>
      <c r="M873">
        <v>3.1</v>
      </c>
    </row>
    <row r="874" spans="1:13" hidden="1" x14ac:dyDescent="0.25">
      <c r="A874" t="str">
        <f t="shared" si="13"/>
        <v>2023_Vic_Dooen_Chickpea_DetailedTOSTOS1VarietyCBA_CaptainWaterTrtIrrigated</v>
      </c>
      <c r="B874">
        <v>2023025</v>
      </c>
      <c r="C874" t="s">
        <v>86</v>
      </c>
      <c r="D874">
        <v>4</v>
      </c>
      <c r="E874" t="s">
        <v>32</v>
      </c>
      <c r="F874" t="s">
        <v>26</v>
      </c>
      <c r="G874" t="s">
        <v>27</v>
      </c>
      <c r="I874">
        <v>1</v>
      </c>
      <c r="J874" t="s">
        <v>87</v>
      </c>
      <c r="K874" s="1">
        <v>45189</v>
      </c>
      <c r="L874">
        <v>121.5</v>
      </c>
      <c r="M874">
        <v>17</v>
      </c>
    </row>
    <row r="875" spans="1:13" hidden="1" x14ac:dyDescent="0.25">
      <c r="A875" t="str">
        <f t="shared" si="13"/>
        <v>2023_Vic_Dooen_Chickpea_DetailedTOSTOS2VarietyCBA_CaptainWaterTrtIrrigated</v>
      </c>
      <c r="B875">
        <v>2023025</v>
      </c>
      <c r="C875" t="s">
        <v>86</v>
      </c>
      <c r="D875">
        <v>4</v>
      </c>
      <c r="E875" t="s">
        <v>32</v>
      </c>
      <c r="F875" t="s">
        <v>26</v>
      </c>
      <c r="G875" t="s">
        <v>27</v>
      </c>
      <c r="I875">
        <v>2</v>
      </c>
      <c r="J875" t="s">
        <v>81</v>
      </c>
      <c r="K875" s="1">
        <v>45215</v>
      </c>
      <c r="L875">
        <v>159.80000000000001</v>
      </c>
      <c r="M875">
        <v>17</v>
      </c>
    </row>
    <row r="876" spans="1:13" hidden="1" x14ac:dyDescent="0.25">
      <c r="A876" t="str">
        <f t="shared" si="13"/>
        <v>2023_Vic_Dooen_Chickpea_DetailedTOSTOS1VarietyCBA_CaptainWaterTrtRainFed</v>
      </c>
      <c r="B876">
        <v>2023025</v>
      </c>
      <c r="C876" t="s">
        <v>86</v>
      </c>
      <c r="D876">
        <v>4</v>
      </c>
      <c r="E876" t="s">
        <v>32</v>
      </c>
      <c r="F876" t="s">
        <v>26</v>
      </c>
      <c r="G876" t="s">
        <v>30</v>
      </c>
      <c r="I876">
        <v>1</v>
      </c>
      <c r="J876" t="s">
        <v>87</v>
      </c>
      <c r="K876" s="1">
        <v>45189</v>
      </c>
      <c r="L876">
        <v>133.5</v>
      </c>
      <c r="M876">
        <v>17</v>
      </c>
    </row>
    <row r="877" spans="1:13" hidden="1" x14ac:dyDescent="0.25">
      <c r="A877" t="str">
        <f t="shared" si="13"/>
        <v>2023_Vic_Dooen_Chickpea_DetailedTOSTOS2VarietyCBA_CaptainWaterTrtRainFed</v>
      </c>
      <c r="B877">
        <v>2023025</v>
      </c>
      <c r="C877" t="s">
        <v>86</v>
      </c>
      <c r="D877">
        <v>4</v>
      </c>
      <c r="E877" t="s">
        <v>32</v>
      </c>
      <c r="F877" t="s">
        <v>26</v>
      </c>
      <c r="G877" t="s">
        <v>30</v>
      </c>
      <c r="I877">
        <v>2</v>
      </c>
      <c r="J877" t="s">
        <v>81</v>
      </c>
      <c r="K877" s="1">
        <v>45215</v>
      </c>
      <c r="L877">
        <v>126.6</v>
      </c>
      <c r="M877">
        <v>17</v>
      </c>
    </row>
    <row r="878" spans="1:13" hidden="1" x14ac:dyDescent="0.25">
      <c r="A878" t="str">
        <f t="shared" si="13"/>
        <v>2023_Vic_Dooen_Chickpea_DetailedTOSTOS1VarietyDrummondWaterTrtIrrigated</v>
      </c>
      <c r="B878">
        <v>2023025</v>
      </c>
      <c r="C878" t="s">
        <v>86</v>
      </c>
      <c r="D878">
        <v>4</v>
      </c>
      <c r="E878" t="s">
        <v>32</v>
      </c>
      <c r="F878" t="s">
        <v>123</v>
      </c>
      <c r="G878" t="s">
        <v>27</v>
      </c>
      <c r="I878">
        <v>1</v>
      </c>
      <c r="J878" t="s">
        <v>87</v>
      </c>
      <c r="K878" s="1">
        <v>45194</v>
      </c>
      <c r="L878">
        <v>125</v>
      </c>
      <c r="M878">
        <v>17</v>
      </c>
    </row>
    <row r="879" spans="1:13" hidden="1" x14ac:dyDescent="0.25">
      <c r="A879" t="str">
        <f t="shared" si="13"/>
        <v>2023_Vic_Dooen_Chickpea_DetailedTOSTOS2VarietyDrummondWaterTrtIrrigated</v>
      </c>
      <c r="B879">
        <v>2023025</v>
      </c>
      <c r="C879" t="s">
        <v>86</v>
      </c>
      <c r="D879">
        <v>4</v>
      </c>
      <c r="E879" t="s">
        <v>32</v>
      </c>
      <c r="F879" t="s">
        <v>123</v>
      </c>
      <c r="G879" t="s">
        <v>27</v>
      </c>
      <c r="I879">
        <v>2</v>
      </c>
      <c r="J879" t="s">
        <v>81</v>
      </c>
      <c r="K879" s="1">
        <v>45222</v>
      </c>
      <c r="L879">
        <v>192.1</v>
      </c>
      <c r="M879">
        <v>17</v>
      </c>
    </row>
    <row r="880" spans="1:13" hidden="1" x14ac:dyDescent="0.25">
      <c r="A880" t="str">
        <f t="shared" si="13"/>
        <v>2023_Vic_Dooen_Chickpea_DetailedTOSTOS1VarietyDrummondWaterTrtRainFed</v>
      </c>
      <c r="B880">
        <v>2023025</v>
      </c>
      <c r="C880" t="s">
        <v>86</v>
      </c>
      <c r="D880">
        <v>4</v>
      </c>
      <c r="E880" t="s">
        <v>32</v>
      </c>
      <c r="F880" t="s">
        <v>123</v>
      </c>
      <c r="G880" t="s">
        <v>30</v>
      </c>
      <c r="I880">
        <v>1</v>
      </c>
      <c r="J880" t="s">
        <v>87</v>
      </c>
      <c r="K880" s="1">
        <v>45194</v>
      </c>
      <c r="L880">
        <v>86.9</v>
      </c>
      <c r="M880">
        <v>17</v>
      </c>
    </row>
    <row r="881" spans="1:13" hidden="1" x14ac:dyDescent="0.25">
      <c r="A881" t="str">
        <f t="shared" si="13"/>
        <v>2023_Vic_Dooen_Chickpea_DetailedTOSTOS2VarietyDrummondWaterTrtRainFed</v>
      </c>
      <c r="B881">
        <v>2023025</v>
      </c>
      <c r="C881" t="s">
        <v>86</v>
      </c>
      <c r="D881">
        <v>4</v>
      </c>
      <c r="E881" t="s">
        <v>32</v>
      </c>
      <c r="F881" t="s">
        <v>123</v>
      </c>
      <c r="G881" t="s">
        <v>30</v>
      </c>
      <c r="I881">
        <v>2</v>
      </c>
      <c r="J881" t="s">
        <v>81</v>
      </c>
      <c r="K881" s="1">
        <v>45222</v>
      </c>
      <c r="L881">
        <v>141.6</v>
      </c>
      <c r="M881">
        <v>17</v>
      </c>
    </row>
    <row r="882" spans="1:13" hidden="1" x14ac:dyDescent="0.25">
      <c r="A882" t="str">
        <f t="shared" si="13"/>
        <v>2023_Vic_Dooen_Chickpea_DetailedTOSTOS1VarietyHatTrickWaterTrtIrrigated</v>
      </c>
      <c r="B882">
        <v>2023025</v>
      </c>
      <c r="C882" t="s">
        <v>86</v>
      </c>
      <c r="D882">
        <v>4</v>
      </c>
      <c r="E882" t="s">
        <v>32</v>
      </c>
      <c r="F882" t="s">
        <v>124</v>
      </c>
      <c r="G882" t="s">
        <v>27</v>
      </c>
      <c r="I882">
        <v>1</v>
      </c>
      <c r="J882" t="s">
        <v>87</v>
      </c>
      <c r="K882" s="1">
        <v>45205</v>
      </c>
      <c r="L882">
        <v>186.6</v>
      </c>
      <c r="M882">
        <v>17</v>
      </c>
    </row>
    <row r="883" spans="1:13" hidden="1" x14ac:dyDescent="0.25">
      <c r="A883" t="str">
        <f t="shared" si="13"/>
        <v>2023_Vic_Dooen_Chickpea_DetailedTOSTOS2VarietyHatTrickWaterTrtIrrigated</v>
      </c>
      <c r="B883">
        <v>2023025</v>
      </c>
      <c r="C883" t="s">
        <v>86</v>
      </c>
      <c r="D883">
        <v>4</v>
      </c>
      <c r="E883" t="s">
        <v>32</v>
      </c>
      <c r="F883" t="s">
        <v>124</v>
      </c>
      <c r="G883" t="s">
        <v>27</v>
      </c>
      <c r="I883">
        <v>2</v>
      </c>
      <c r="J883" t="s">
        <v>81</v>
      </c>
      <c r="K883" s="1">
        <v>45222</v>
      </c>
      <c r="L883">
        <v>139.69999999999999</v>
      </c>
      <c r="M883">
        <v>17</v>
      </c>
    </row>
    <row r="884" spans="1:13" hidden="1" x14ac:dyDescent="0.25">
      <c r="A884" t="str">
        <f t="shared" si="13"/>
        <v>2023_Vic_Dooen_Chickpea_DetailedTOSTOS1VarietyHatTrickWaterTrtRainFed</v>
      </c>
      <c r="B884">
        <v>2023025</v>
      </c>
      <c r="C884" t="s">
        <v>86</v>
      </c>
      <c r="D884">
        <v>4</v>
      </c>
      <c r="E884" t="s">
        <v>32</v>
      </c>
      <c r="F884" t="s">
        <v>124</v>
      </c>
      <c r="G884" t="s">
        <v>30</v>
      </c>
      <c r="I884">
        <v>1</v>
      </c>
      <c r="J884" t="s">
        <v>87</v>
      </c>
      <c r="K884" s="1">
        <v>45205</v>
      </c>
      <c r="L884">
        <v>152.30000000000001</v>
      </c>
      <c r="M884">
        <v>17</v>
      </c>
    </row>
    <row r="885" spans="1:13" hidden="1" x14ac:dyDescent="0.25">
      <c r="A885" t="str">
        <f t="shared" si="13"/>
        <v>2023_Vic_Dooen_Chickpea_DetailedTOSTOS2VarietyHatTrickWaterTrtRainFed</v>
      </c>
      <c r="B885">
        <v>2023025</v>
      </c>
      <c r="C885" t="s">
        <v>86</v>
      </c>
      <c r="D885">
        <v>4</v>
      </c>
      <c r="E885" t="s">
        <v>32</v>
      </c>
      <c r="F885" t="s">
        <v>124</v>
      </c>
      <c r="G885" t="s">
        <v>30</v>
      </c>
      <c r="I885">
        <v>2</v>
      </c>
      <c r="J885" t="s">
        <v>81</v>
      </c>
      <c r="K885" s="1">
        <v>45222</v>
      </c>
      <c r="L885">
        <v>127.4</v>
      </c>
      <c r="M885">
        <v>17</v>
      </c>
    </row>
    <row r="886" spans="1:13" hidden="1" x14ac:dyDescent="0.25">
      <c r="A886" t="str">
        <f t="shared" si="13"/>
        <v>2023_Vic_Dooen_Chickpea_DetailedTOSTOS1VarietyStrikerWaterTrtIrrigated</v>
      </c>
      <c r="B886">
        <v>2023025</v>
      </c>
      <c r="C886" t="s">
        <v>86</v>
      </c>
      <c r="D886">
        <v>4</v>
      </c>
      <c r="E886" t="s">
        <v>32</v>
      </c>
      <c r="F886" t="s">
        <v>125</v>
      </c>
      <c r="G886" t="s">
        <v>27</v>
      </c>
      <c r="I886">
        <v>1</v>
      </c>
      <c r="J886" t="s">
        <v>87</v>
      </c>
      <c r="K886" s="1">
        <v>45189</v>
      </c>
      <c r="L886">
        <v>129</v>
      </c>
      <c r="M886">
        <v>17</v>
      </c>
    </row>
    <row r="887" spans="1:13" hidden="1" x14ac:dyDescent="0.25">
      <c r="A887" t="str">
        <f t="shared" si="13"/>
        <v>2023_Vic_Dooen_Chickpea_DetailedTOSTOS2VarietyStrikerWaterTrtIrrigated</v>
      </c>
      <c r="B887">
        <v>2023025</v>
      </c>
      <c r="C887" t="s">
        <v>86</v>
      </c>
      <c r="D887">
        <v>4</v>
      </c>
      <c r="E887" t="s">
        <v>32</v>
      </c>
      <c r="F887" t="s">
        <v>125</v>
      </c>
      <c r="G887" t="s">
        <v>27</v>
      </c>
      <c r="I887">
        <v>2</v>
      </c>
      <c r="J887" t="s">
        <v>81</v>
      </c>
      <c r="K887" s="1">
        <v>45215</v>
      </c>
      <c r="L887">
        <v>146.19999999999999</v>
      </c>
      <c r="M887">
        <v>17</v>
      </c>
    </row>
    <row r="888" spans="1:13" hidden="1" x14ac:dyDescent="0.25">
      <c r="A888" t="str">
        <f t="shared" si="13"/>
        <v>2023_Vic_Dooen_Chickpea_DetailedTOSTOS1VarietyStrikerWaterTrtRainFed</v>
      </c>
      <c r="B888">
        <v>2023025</v>
      </c>
      <c r="C888" t="s">
        <v>86</v>
      </c>
      <c r="D888">
        <v>4</v>
      </c>
      <c r="E888" t="s">
        <v>32</v>
      </c>
      <c r="F888" t="s">
        <v>125</v>
      </c>
      <c r="G888" t="s">
        <v>30</v>
      </c>
      <c r="I888">
        <v>1</v>
      </c>
      <c r="J888" t="s">
        <v>87</v>
      </c>
      <c r="K888" s="1">
        <v>45189</v>
      </c>
      <c r="L888">
        <v>112.1</v>
      </c>
      <c r="M888">
        <v>17</v>
      </c>
    </row>
    <row r="889" spans="1:13" hidden="1" x14ac:dyDescent="0.25">
      <c r="A889" t="str">
        <f t="shared" si="13"/>
        <v>2023_Vic_Dooen_Chickpea_DetailedTOSTOS2VarietyStrikerWaterTrtRainFed</v>
      </c>
      <c r="B889">
        <v>2023025</v>
      </c>
      <c r="C889" t="s">
        <v>86</v>
      </c>
      <c r="D889">
        <v>4</v>
      </c>
      <c r="E889" t="s">
        <v>32</v>
      </c>
      <c r="F889" t="s">
        <v>125</v>
      </c>
      <c r="G889" t="s">
        <v>30</v>
      </c>
      <c r="I889">
        <v>2</v>
      </c>
      <c r="J889" t="s">
        <v>81</v>
      </c>
      <c r="K889" s="1">
        <v>45215</v>
      </c>
      <c r="L889">
        <v>120.8</v>
      </c>
      <c r="M889">
        <v>17</v>
      </c>
    </row>
    <row r="890" spans="1:13" hidden="1" x14ac:dyDescent="0.25">
      <c r="A890" t="str">
        <f t="shared" si="13"/>
        <v>2023_Vic_Dooen_Chickpea_DetailedTOSTOS1VarietyCBA_CaptainWaterTrtIrrigated</v>
      </c>
      <c r="B890">
        <v>2023025</v>
      </c>
      <c r="C890" t="s">
        <v>86</v>
      </c>
      <c r="D890">
        <v>5</v>
      </c>
      <c r="E890" t="s">
        <v>33</v>
      </c>
      <c r="F890" t="s">
        <v>26</v>
      </c>
      <c r="G890" t="s">
        <v>27</v>
      </c>
      <c r="I890">
        <v>1</v>
      </c>
      <c r="J890" t="s">
        <v>87</v>
      </c>
      <c r="K890" s="1">
        <v>45236</v>
      </c>
      <c r="L890">
        <v>766.9</v>
      </c>
      <c r="M890">
        <v>38</v>
      </c>
    </row>
    <row r="891" spans="1:13" hidden="1" x14ac:dyDescent="0.25">
      <c r="A891" t="str">
        <f t="shared" si="13"/>
        <v>2023_Vic_Dooen_Chickpea_DetailedTOSTOS2VarietyCBA_CaptainWaterTrtIrrigated</v>
      </c>
      <c r="B891">
        <v>2023025</v>
      </c>
      <c r="C891" t="s">
        <v>86</v>
      </c>
      <c r="D891">
        <v>5</v>
      </c>
      <c r="E891" t="s">
        <v>33</v>
      </c>
      <c r="F891" t="s">
        <v>26</v>
      </c>
      <c r="G891" t="s">
        <v>27</v>
      </c>
      <c r="I891">
        <v>2</v>
      </c>
      <c r="J891" t="s">
        <v>81</v>
      </c>
      <c r="K891" s="1">
        <v>45236</v>
      </c>
      <c r="L891">
        <v>441.4</v>
      </c>
      <c r="M891">
        <v>38</v>
      </c>
    </row>
    <row r="892" spans="1:13" hidden="1" x14ac:dyDescent="0.25">
      <c r="A892" t="str">
        <f t="shared" si="13"/>
        <v>2023_Vic_Dooen_Chickpea_DetailedTOSTOS1VarietyCBA_CaptainWaterTrtRainFed</v>
      </c>
      <c r="B892">
        <v>2023025</v>
      </c>
      <c r="C892" t="s">
        <v>86</v>
      </c>
      <c r="D892">
        <v>5</v>
      </c>
      <c r="E892" t="s">
        <v>33</v>
      </c>
      <c r="F892" t="s">
        <v>26</v>
      </c>
      <c r="G892" t="s">
        <v>30</v>
      </c>
      <c r="I892">
        <v>1</v>
      </c>
      <c r="J892" t="s">
        <v>87</v>
      </c>
      <c r="K892" s="1">
        <v>45236</v>
      </c>
      <c r="L892">
        <v>614.6</v>
      </c>
      <c r="M892">
        <v>38</v>
      </c>
    </row>
    <row r="893" spans="1:13" hidden="1" x14ac:dyDescent="0.25">
      <c r="A893" t="str">
        <f t="shared" si="13"/>
        <v>2023_Vic_Dooen_Chickpea_DetailedTOSTOS2VarietyCBA_CaptainWaterTrtRainFed</v>
      </c>
      <c r="B893">
        <v>2023025</v>
      </c>
      <c r="C893" t="s">
        <v>86</v>
      </c>
      <c r="D893">
        <v>5</v>
      </c>
      <c r="E893" t="s">
        <v>33</v>
      </c>
      <c r="F893" t="s">
        <v>26</v>
      </c>
      <c r="G893" t="s">
        <v>30</v>
      </c>
      <c r="I893">
        <v>2</v>
      </c>
      <c r="J893" t="s">
        <v>81</v>
      </c>
      <c r="K893" s="1">
        <v>45236</v>
      </c>
      <c r="L893">
        <v>329.6</v>
      </c>
      <c r="M893">
        <v>38</v>
      </c>
    </row>
    <row r="894" spans="1:13" hidden="1" x14ac:dyDescent="0.25">
      <c r="A894" t="str">
        <f t="shared" si="13"/>
        <v>2023_Vic_Dooen_Chickpea_DetailedTOSTOS1VarietyDrummondWaterTrtIrrigated</v>
      </c>
      <c r="B894">
        <v>2023025</v>
      </c>
      <c r="C894" t="s">
        <v>86</v>
      </c>
      <c r="D894">
        <v>5</v>
      </c>
      <c r="E894" t="s">
        <v>33</v>
      </c>
      <c r="F894" t="s">
        <v>123</v>
      </c>
      <c r="G894" t="s">
        <v>27</v>
      </c>
      <c r="I894">
        <v>1</v>
      </c>
      <c r="J894" t="s">
        <v>87</v>
      </c>
      <c r="K894" s="1">
        <v>45236</v>
      </c>
      <c r="L894">
        <v>820.9</v>
      </c>
      <c r="M894">
        <v>41</v>
      </c>
    </row>
    <row r="895" spans="1:13" hidden="1" x14ac:dyDescent="0.25">
      <c r="A895" t="str">
        <f t="shared" si="13"/>
        <v>2023_Vic_Dooen_Chickpea_DetailedTOSTOS2VarietyDrummondWaterTrtIrrigated</v>
      </c>
      <c r="B895">
        <v>2023025</v>
      </c>
      <c r="C895" t="s">
        <v>86</v>
      </c>
      <c r="D895">
        <v>5</v>
      </c>
      <c r="E895" t="s">
        <v>33</v>
      </c>
      <c r="F895" t="s">
        <v>123</v>
      </c>
      <c r="G895" t="s">
        <v>27</v>
      </c>
      <c r="I895">
        <v>2</v>
      </c>
      <c r="J895" t="s">
        <v>81</v>
      </c>
      <c r="K895" s="1">
        <v>45236</v>
      </c>
      <c r="L895">
        <v>443.2</v>
      </c>
      <c r="M895">
        <v>38</v>
      </c>
    </row>
    <row r="896" spans="1:13" hidden="1" x14ac:dyDescent="0.25">
      <c r="A896" t="str">
        <f t="shared" si="13"/>
        <v>2023_Vic_Dooen_Chickpea_DetailedTOSTOS1VarietyDrummondWaterTrtRainFed</v>
      </c>
      <c r="B896">
        <v>2023025</v>
      </c>
      <c r="C896" t="s">
        <v>86</v>
      </c>
      <c r="D896">
        <v>5</v>
      </c>
      <c r="E896" t="s">
        <v>33</v>
      </c>
      <c r="F896" t="s">
        <v>123</v>
      </c>
      <c r="G896" t="s">
        <v>30</v>
      </c>
      <c r="I896">
        <v>1</v>
      </c>
      <c r="J896" t="s">
        <v>87</v>
      </c>
      <c r="K896" s="1">
        <v>45236</v>
      </c>
      <c r="L896">
        <v>514.5</v>
      </c>
      <c r="M896">
        <v>38</v>
      </c>
    </row>
    <row r="897" spans="1:25" hidden="1" x14ac:dyDescent="0.25">
      <c r="A897" t="str">
        <f t="shared" si="13"/>
        <v>2023_Vic_Dooen_Chickpea_DetailedTOSTOS2VarietyDrummondWaterTrtRainFed</v>
      </c>
      <c r="B897">
        <v>2023025</v>
      </c>
      <c r="C897" t="s">
        <v>86</v>
      </c>
      <c r="D897">
        <v>5</v>
      </c>
      <c r="E897" t="s">
        <v>33</v>
      </c>
      <c r="F897" t="s">
        <v>123</v>
      </c>
      <c r="G897" t="s">
        <v>30</v>
      </c>
      <c r="I897">
        <v>2</v>
      </c>
      <c r="J897" t="s">
        <v>81</v>
      </c>
      <c r="K897" s="1">
        <v>45236</v>
      </c>
      <c r="L897">
        <v>385.3</v>
      </c>
      <c r="M897">
        <v>38</v>
      </c>
    </row>
    <row r="898" spans="1:25" hidden="1" x14ac:dyDescent="0.25">
      <c r="A898" t="str">
        <f t="shared" si="13"/>
        <v>2023_Vic_Dooen_Chickpea_DetailedTOSTOS1VarietyHatTrickWaterTrtIrrigated</v>
      </c>
      <c r="B898">
        <v>2023025</v>
      </c>
      <c r="C898" t="s">
        <v>86</v>
      </c>
      <c r="D898">
        <v>5</v>
      </c>
      <c r="E898" t="s">
        <v>33</v>
      </c>
      <c r="F898" t="s">
        <v>124</v>
      </c>
      <c r="G898" t="s">
        <v>27</v>
      </c>
      <c r="I898">
        <v>1</v>
      </c>
      <c r="J898" t="s">
        <v>87</v>
      </c>
      <c r="K898" s="1">
        <v>45236</v>
      </c>
      <c r="L898">
        <v>660.5</v>
      </c>
      <c r="M898">
        <v>38</v>
      </c>
    </row>
    <row r="899" spans="1:25" hidden="1" x14ac:dyDescent="0.25">
      <c r="A899" t="str">
        <f t="shared" ref="A899:A962" si="14">C899&amp;"TOSTOS"&amp;I899&amp;"Variety"&amp;F899&amp;"WaterTrt"&amp;G899&amp;IF(H899="","","Agronomy"&amp;H899)</f>
        <v>2023_Vic_Dooen_Chickpea_DetailedTOSTOS2VarietyHatTrickWaterTrtIrrigated</v>
      </c>
      <c r="B899">
        <v>2023025</v>
      </c>
      <c r="C899" t="s">
        <v>86</v>
      </c>
      <c r="D899">
        <v>5</v>
      </c>
      <c r="E899" t="s">
        <v>33</v>
      </c>
      <c r="F899" t="s">
        <v>124</v>
      </c>
      <c r="G899" t="s">
        <v>27</v>
      </c>
      <c r="I899">
        <v>2</v>
      </c>
      <c r="J899" t="s">
        <v>81</v>
      </c>
      <c r="K899" s="1">
        <v>45236</v>
      </c>
      <c r="L899">
        <v>424</v>
      </c>
      <c r="M899">
        <v>38</v>
      </c>
    </row>
    <row r="900" spans="1:25" hidden="1" x14ac:dyDescent="0.25">
      <c r="A900" t="str">
        <f t="shared" si="14"/>
        <v>2023_Vic_Dooen_Chickpea_DetailedTOSTOS1VarietyHatTrickWaterTrtRainFed</v>
      </c>
      <c r="B900">
        <v>2023025</v>
      </c>
      <c r="C900" t="s">
        <v>86</v>
      </c>
      <c r="D900">
        <v>5</v>
      </c>
      <c r="E900" t="s">
        <v>33</v>
      </c>
      <c r="F900" t="s">
        <v>124</v>
      </c>
      <c r="G900" t="s">
        <v>30</v>
      </c>
      <c r="I900">
        <v>1</v>
      </c>
      <c r="J900" t="s">
        <v>87</v>
      </c>
      <c r="K900" s="1">
        <v>45236</v>
      </c>
      <c r="L900">
        <v>543.9</v>
      </c>
      <c r="M900">
        <v>38</v>
      </c>
    </row>
    <row r="901" spans="1:25" hidden="1" x14ac:dyDescent="0.25">
      <c r="A901" t="str">
        <f t="shared" si="14"/>
        <v>2023_Vic_Dooen_Chickpea_DetailedTOSTOS2VarietyHatTrickWaterTrtRainFed</v>
      </c>
      <c r="B901">
        <v>2023025</v>
      </c>
      <c r="C901" t="s">
        <v>86</v>
      </c>
      <c r="D901">
        <v>5</v>
      </c>
      <c r="E901" t="s">
        <v>33</v>
      </c>
      <c r="F901" t="s">
        <v>124</v>
      </c>
      <c r="G901" t="s">
        <v>30</v>
      </c>
      <c r="I901">
        <v>2</v>
      </c>
      <c r="J901" t="s">
        <v>81</v>
      </c>
      <c r="K901" s="1">
        <v>45236</v>
      </c>
      <c r="L901">
        <v>326.2</v>
      </c>
      <c r="M901">
        <v>38</v>
      </c>
    </row>
    <row r="902" spans="1:25" hidden="1" x14ac:dyDescent="0.25">
      <c r="A902" t="str">
        <f t="shared" si="14"/>
        <v>2023_Vic_Dooen_Chickpea_DetailedTOSTOS1VarietyStrikerWaterTrtIrrigated</v>
      </c>
      <c r="B902">
        <v>2023025</v>
      </c>
      <c r="C902" t="s">
        <v>86</v>
      </c>
      <c r="D902">
        <v>5</v>
      </c>
      <c r="E902" t="s">
        <v>33</v>
      </c>
      <c r="F902" t="s">
        <v>125</v>
      </c>
      <c r="G902" t="s">
        <v>27</v>
      </c>
      <c r="I902">
        <v>1</v>
      </c>
      <c r="J902" t="s">
        <v>87</v>
      </c>
      <c r="K902" s="1">
        <v>45236</v>
      </c>
      <c r="L902">
        <v>644.20000000000005</v>
      </c>
      <c r="M902">
        <v>38</v>
      </c>
    </row>
    <row r="903" spans="1:25" hidden="1" x14ac:dyDescent="0.25">
      <c r="A903" t="str">
        <f t="shared" si="14"/>
        <v>2023_Vic_Dooen_Chickpea_DetailedTOSTOS2VarietyStrikerWaterTrtIrrigated</v>
      </c>
      <c r="B903">
        <v>2023025</v>
      </c>
      <c r="C903" t="s">
        <v>86</v>
      </c>
      <c r="D903">
        <v>5</v>
      </c>
      <c r="E903" t="s">
        <v>33</v>
      </c>
      <c r="F903" t="s">
        <v>125</v>
      </c>
      <c r="G903" t="s">
        <v>27</v>
      </c>
      <c r="I903">
        <v>2</v>
      </c>
      <c r="J903" t="s">
        <v>81</v>
      </c>
      <c r="K903" s="1">
        <v>45236</v>
      </c>
      <c r="L903">
        <v>493.1</v>
      </c>
      <c r="M903">
        <v>38</v>
      </c>
    </row>
    <row r="904" spans="1:25" hidden="1" x14ac:dyDescent="0.25">
      <c r="A904" t="str">
        <f t="shared" si="14"/>
        <v>2023_Vic_Dooen_Chickpea_DetailedTOSTOS1VarietyStrikerWaterTrtRainFed</v>
      </c>
      <c r="B904">
        <v>2023025</v>
      </c>
      <c r="C904" t="s">
        <v>86</v>
      </c>
      <c r="D904">
        <v>5</v>
      </c>
      <c r="E904" t="s">
        <v>33</v>
      </c>
      <c r="F904" t="s">
        <v>125</v>
      </c>
      <c r="G904" t="s">
        <v>30</v>
      </c>
      <c r="I904">
        <v>1</v>
      </c>
      <c r="J904" t="s">
        <v>87</v>
      </c>
      <c r="K904" s="1">
        <v>45236</v>
      </c>
      <c r="L904">
        <v>466.3</v>
      </c>
      <c r="M904">
        <v>38</v>
      </c>
    </row>
    <row r="905" spans="1:25" hidden="1" x14ac:dyDescent="0.25">
      <c r="A905" t="str">
        <f t="shared" si="14"/>
        <v>2023_Vic_Dooen_Chickpea_DetailedTOSTOS2VarietyStrikerWaterTrtRainFed</v>
      </c>
      <c r="B905">
        <v>2023025</v>
      </c>
      <c r="C905" t="s">
        <v>86</v>
      </c>
      <c r="D905">
        <v>5</v>
      </c>
      <c r="E905" t="s">
        <v>33</v>
      </c>
      <c r="F905" t="s">
        <v>125</v>
      </c>
      <c r="G905" t="s">
        <v>30</v>
      </c>
      <c r="I905">
        <v>2</v>
      </c>
      <c r="J905" t="s">
        <v>81</v>
      </c>
      <c r="K905" s="1">
        <v>45236</v>
      </c>
      <c r="L905">
        <v>419.2</v>
      </c>
      <c r="M905">
        <v>38</v>
      </c>
    </row>
    <row r="906" spans="1:25" hidden="1" x14ac:dyDescent="0.25">
      <c r="A906" t="str">
        <f t="shared" si="14"/>
        <v>2023_Vic_Dooen_Chickpea_DetailedTOSTOS1VarietyCBA_CaptainWaterTrtIrrigated</v>
      </c>
      <c r="B906">
        <v>2023025</v>
      </c>
      <c r="C906" t="s">
        <v>86</v>
      </c>
      <c r="D906">
        <v>6</v>
      </c>
      <c r="E906" t="s">
        <v>34</v>
      </c>
      <c r="F906" t="s">
        <v>26</v>
      </c>
      <c r="G906" t="s">
        <v>27</v>
      </c>
      <c r="I906">
        <v>1</v>
      </c>
      <c r="J906" t="s">
        <v>87</v>
      </c>
      <c r="K906" s="1">
        <v>45266</v>
      </c>
      <c r="L906">
        <v>856.6</v>
      </c>
      <c r="M906">
        <v>54</v>
      </c>
      <c r="N906">
        <v>0.42099999999999999</v>
      </c>
      <c r="O906">
        <v>1.0999999999999999E-2</v>
      </c>
      <c r="P906">
        <v>1109</v>
      </c>
      <c r="Q906">
        <v>99</v>
      </c>
      <c r="T906">
        <v>1684</v>
      </c>
      <c r="U906">
        <v>170</v>
      </c>
      <c r="V906">
        <v>218.655000000001</v>
      </c>
      <c r="W906">
        <v>10.7478160641369</v>
      </c>
      <c r="X906">
        <v>364</v>
      </c>
      <c r="Y906">
        <v>23</v>
      </c>
    </row>
    <row r="907" spans="1:25" hidden="1" x14ac:dyDescent="0.25">
      <c r="A907" t="str">
        <f t="shared" si="14"/>
        <v>2023_Vic_Dooen_Chickpea_DetailedTOSTOS2VarietyCBA_CaptainWaterTrtIrrigated</v>
      </c>
      <c r="B907">
        <v>2023025</v>
      </c>
      <c r="C907" t="s">
        <v>86</v>
      </c>
      <c r="D907">
        <v>6</v>
      </c>
      <c r="E907" t="s">
        <v>34</v>
      </c>
      <c r="F907" t="s">
        <v>26</v>
      </c>
      <c r="G907" t="s">
        <v>27</v>
      </c>
      <c r="I907">
        <v>2</v>
      </c>
      <c r="J907" t="s">
        <v>81</v>
      </c>
      <c r="K907" s="1">
        <v>45279</v>
      </c>
      <c r="L907">
        <v>630.70000000000005</v>
      </c>
      <c r="M907">
        <v>54</v>
      </c>
      <c r="N907">
        <v>0.52600000000000002</v>
      </c>
      <c r="O907">
        <v>1.0999999999999999E-2</v>
      </c>
      <c r="P907">
        <v>1028</v>
      </c>
      <c r="Q907">
        <v>89</v>
      </c>
      <c r="T907">
        <v>1541</v>
      </c>
      <c r="U907">
        <v>140</v>
      </c>
      <c r="V907">
        <v>217.73249999999999</v>
      </c>
      <c r="W907">
        <v>10.7478160641369</v>
      </c>
      <c r="X907">
        <v>330</v>
      </c>
      <c r="Y907">
        <v>23</v>
      </c>
    </row>
    <row r="908" spans="1:25" hidden="1" x14ac:dyDescent="0.25">
      <c r="A908" t="str">
        <f t="shared" si="14"/>
        <v>2023_Vic_Dooen_Chickpea_DetailedTOSTOS1VarietyCBA_CaptainWaterTrtRainFed</v>
      </c>
      <c r="B908">
        <v>2023025</v>
      </c>
      <c r="C908" t="s">
        <v>86</v>
      </c>
      <c r="D908">
        <v>6</v>
      </c>
      <c r="E908" t="s">
        <v>34</v>
      </c>
      <c r="F908" t="s">
        <v>26</v>
      </c>
      <c r="G908" t="s">
        <v>30</v>
      </c>
      <c r="I908">
        <v>1</v>
      </c>
      <c r="J908" t="s">
        <v>87</v>
      </c>
      <c r="K908" s="1">
        <v>45266</v>
      </c>
      <c r="L908">
        <v>779.2</v>
      </c>
      <c r="M908">
        <v>54</v>
      </c>
      <c r="N908">
        <v>0.40699999999999997</v>
      </c>
      <c r="O908">
        <v>1.0999999999999999E-2</v>
      </c>
      <c r="P908">
        <v>1089</v>
      </c>
      <c r="Q908">
        <v>99</v>
      </c>
      <c r="T908">
        <v>1446</v>
      </c>
      <c r="U908">
        <v>170</v>
      </c>
      <c r="V908">
        <v>217.52250000000001</v>
      </c>
      <c r="W908">
        <v>10.7478160641369</v>
      </c>
      <c r="X908">
        <v>314</v>
      </c>
      <c r="Y908">
        <v>23</v>
      </c>
    </row>
    <row r="909" spans="1:25" hidden="1" x14ac:dyDescent="0.25">
      <c r="A909" t="str">
        <f t="shared" si="14"/>
        <v>2023_Vic_Dooen_Chickpea_DetailedTOSTOS2VarietyCBA_CaptainWaterTrtRainFed</v>
      </c>
      <c r="B909">
        <v>2023025</v>
      </c>
      <c r="C909" t="s">
        <v>86</v>
      </c>
      <c r="D909">
        <v>6</v>
      </c>
      <c r="E909" t="s">
        <v>34</v>
      </c>
      <c r="F909" t="s">
        <v>26</v>
      </c>
      <c r="G909" t="s">
        <v>30</v>
      </c>
      <c r="I909">
        <v>2</v>
      </c>
      <c r="J909" t="s">
        <v>81</v>
      </c>
      <c r="K909" s="1">
        <v>45266</v>
      </c>
      <c r="L909">
        <v>466.7</v>
      </c>
      <c r="M909">
        <v>54</v>
      </c>
      <c r="N909">
        <v>0.498</v>
      </c>
      <c r="O909">
        <v>1.0999999999999999E-2</v>
      </c>
      <c r="P909">
        <v>761</v>
      </c>
      <c r="Q909">
        <v>89</v>
      </c>
      <c r="T909">
        <v>1034</v>
      </c>
      <c r="U909">
        <v>140</v>
      </c>
      <c r="V909">
        <v>212.98249999999999</v>
      </c>
      <c r="W909">
        <v>10.7478160641369</v>
      </c>
      <c r="X909">
        <v>233</v>
      </c>
      <c r="Y909">
        <v>23</v>
      </c>
    </row>
    <row r="910" spans="1:25" hidden="1" x14ac:dyDescent="0.25">
      <c r="A910" t="str">
        <f t="shared" si="14"/>
        <v>2023_Vic_Dooen_Chickpea_DetailedTOSTOS1VarietyDrummondWaterTrtIrrigated</v>
      </c>
      <c r="B910">
        <v>2023025</v>
      </c>
      <c r="C910" t="s">
        <v>86</v>
      </c>
      <c r="D910">
        <v>6</v>
      </c>
      <c r="E910" t="s">
        <v>34</v>
      </c>
      <c r="F910" t="s">
        <v>123</v>
      </c>
      <c r="G910" t="s">
        <v>27</v>
      </c>
      <c r="I910">
        <v>1</v>
      </c>
      <c r="J910" t="s">
        <v>87</v>
      </c>
      <c r="K910" s="1">
        <v>45267</v>
      </c>
      <c r="L910">
        <v>857.9</v>
      </c>
      <c r="M910">
        <v>54</v>
      </c>
      <c r="N910">
        <v>0.42099999999999999</v>
      </c>
      <c r="O910">
        <v>1.2E-2</v>
      </c>
      <c r="P910">
        <v>1252</v>
      </c>
      <c r="Q910">
        <v>99</v>
      </c>
      <c r="T910">
        <v>1533</v>
      </c>
      <c r="U910">
        <v>170</v>
      </c>
      <c r="V910">
        <v>256.37749999999897</v>
      </c>
      <c r="W910">
        <v>10.7478160641369</v>
      </c>
      <c r="X910">
        <v>372</v>
      </c>
      <c r="Y910">
        <v>23</v>
      </c>
    </row>
    <row r="911" spans="1:25" hidden="1" x14ac:dyDescent="0.25">
      <c r="A911" t="str">
        <f t="shared" si="14"/>
        <v>2023_Vic_Dooen_Chickpea_DetailedTOSTOS2VarietyDrummondWaterTrtIrrigated</v>
      </c>
      <c r="B911">
        <v>2023025</v>
      </c>
      <c r="C911" t="s">
        <v>86</v>
      </c>
      <c r="D911">
        <v>6</v>
      </c>
      <c r="E911" t="s">
        <v>34</v>
      </c>
      <c r="F911" t="s">
        <v>123</v>
      </c>
      <c r="G911" t="s">
        <v>27</v>
      </c>
      <c r="I911">
        <v>2</v>
      </c>
      <c r="J911" t="s">
        <v>81</v>
      </c>
      <c r="K911" s="1">
        <v>45279</v>
      </c>
      <c r="L911">
        <v>546.6</v>
      </c>
      <c r="M911">
        <v>54</v>
      </c>
      <c r="N911">
        <v>0.51300000000000001</v>
      </c>
      <c r="O911">
        <v>1.0999999999999999E-2</v>
      </c>
      <c r="P911">
        <v>914</v>
      </c>
      <c r="Q911">
        <v>89</v>
      </c>
      <c r="T911">
        <v>1315</v>
      </c>
      <c r="U911">
        <v>140</v>
      </c>
      <c r="V911">
        <v>207.0675</v>
      </c>
      <c r="W911">
        <v>10.7478160641369</v>
      </c>
      <c r="X911">
        <v>281</v>
      </c>
      <c r="Y911">
        <v>23</v>
      </c>
    </row>
    <row r="912" spans="1:25" hidden="1" x14ac:dyDescent="0.25">
      <c r="A912" t="str">
        <f t="shared" si="14"/>
        <v>2023_Vic_Dooen_Chickpea_DetailedTOSTOS1VarietyDrummondWaterTrtRainFed</v>
      </c>
      <c r="B912">
        <v>2023025</v>
      </c>
      <c r="C912" t="s">
        <v>86</v>
      </c>
      <c r="D912">
        <v>6</v>
      </c>
      <c r="E912" t="s">
        <v>34</v>
      </c>
      <c r="F912" t="s">
        <v>123</v>
      </c>
      <c r="G912" t="s">
        <v>30</v>
      </c>
      <c r="I912">
        <v>1</v>
      </c>
      <c r="J912" t="s">
        <v>87</v>
      </c>
      <c r="K912" s="1">
        <v>45267</v>
      </c>
      <c r="L912">
        <v>555</v>
      </c>
      <c r="M912">
        <v>54</v>
      </c>
      <c r="N912">
        <v>0.42099999999999999</v>
      </c>
      <c r="O912">
        <v>1.0999999999999999E-2</v>
      </c>
      <c r="P912">
        <v>769</v>
      </c>
      <c r="Q912">
        <v>99</v>
      </c>
      <c r="T912">
        <v>1015</v>
      </c>
      <c r="U912">
        <v>170</v>
      </c>
      <c r="V912">
        <v>217.00749999999999</v>
      </c>
      <c r="W912">
        <v>10.7478160641369</v>
      </c>
      <c r="X912">
        <v>232</v>
      </c>
      <c r="Y912">
        <v>23</v>
      </c>
    </row>
    <row r="913" spans="1:25" hidden="1" x14ac:dyDescent="0.25">
      <c r="A913" t="str">
        <f t="shared" si="14"/>
        <v>2023_Vic_Dooen_Chickpea_DetailedTOSTOS2VarietyDrummondWaterTrtRainFed</v>
      </c>
      <c r="B913">
        <v>2023025</v>
      </c>
      <c r="C913" t="s">
        <v>86</v>
      </c>
      <c r="D913">
        <v>6</v>
      </c>
      <c r="E913" t="s">
        <v>34</v>
      </c>
      <c r="F913" t="s">
        <v>123</v>
      </c>
      <c r="G913" t="s">
        <v>30</v>
      </c>
      <c r="I913">
        <v>2</v>
      </c>
      <c r="J913" t="s">
        <v>81</v>
      </c>
      <c r="K913" s="1">
        <v>45266</v>
      </c>
      <c r="L913">
        <v>484.5</v>
      </c>
      <c r="M913">
        <v>54</v>
      </c>
      <c r="N913">
        <v>0.52500000000000002</v>
      </c>
      <c r="O913">
        <v>1.0999999999999999E-2</v>
      </c>
      <c r="P913">
        <v>834</v>
      </c>
      <c r="Q913">
        <v>89</v>
      </c>
      <c r="T913">
        <v>1034</v>
      </c>
      <c r="U913">
        <v>140</v>
      </c>
      <c r="V913">
        <v>243.68</v>
      </c>
      <c r="W913">
        <v>10.7478160641369</v>
      </c>
      <c r="X913">
        <v>256</v>
      </c>
      <c r="Y913">
        <v>23</v>
      </c>
    </row>
    <row r="914" spans="1:25" hidden="1" x14ac:dyDescent="0.25">
      <c r="A914" t="str">
        <f t="shared" si="14"/>
        <v>2023_Vic_Dooen_Chickpea_DetailedTOSTOS1VarietyHatTrickWaterTrtIrrigated</v>
      </c>
      <c r="B914">
        <v>2023025</v>
      </c>
      <c r="C914" t="s">
        <v>86</v>
      </c>
      <c r="D914">
        <v>6</v>
      </c>
      <c r="E914" t="s">
        <v>34</v>
      </c>
      <c r="F914" t="s">
        <v>124</v>
      </c>
      <c r="G914" t="s">
        <v>27</v>
      </c>
      <c r="I914">
        <v>1</v>
      </c>
      <c r="J914" t="s">
        <v>87</v>
      </c>
      <c r="K914" s="1">
        <v>45279</v>
      </c>
      <c r="L914">
        <v>617.6</v>
      </c>
      <c r="M914">
        <v>54</v>
      </c>
      <c r="N914">
        <v>0.432</v>
      </c>
      <c r="O914">
        <v>1.0999999999999999E-2</v>
      </c>
      <c r="P914">
        <v>1397</v>
      </c>
      <c r="Q914">
        <v>99</v>
      </c>
      <c r="T914">
        <v>1381</v>
      </c>
      <c r="U914">
        <v>170</v>
      </c>
      <c r="V914">
        <v>199.91249999999999</v>
      </c>
      <c r="W914">
        <v>10.7478160641369</v>
      </c>
      <c r="X914">
        <v>269</v>
      </c>
      <c r="Y914">
        <v>23</v>
      </c>
    </row>
    <row r="915" spans="1:25" hidden="1" x14ac:dyDescent="0.25">
      <c r="A915" t="str">
        <f t="shared" si="14"/>
        <v>2023_Vic_Dooen_Chickpea_DetailedTOSTOS2VarietyHatTrickWaterTrtIrrigated</v>
      </c>
      <c r="B915">
        <v>2023025</v>
      </c>
      <c r="C915" t="s">
        <v>86</v>
      </c>
      <c r="D915">
        <v>6</v>
      </c>
      <c r="E915" t="s">
        <v>34</v>
      </c>
      <c r="F915" t="s">
        <v>124</v>
      </c>
      <c r="G915" t="s">
        <v>27</v>
      </c>
      <c r="I915">
        <v>2</v>
      </c>
      <c r="J915" t="s">
        <v>81</v>
      </c>
      <c r="K915" s="1">
        <v>45279</v>
      </c>
      <c r="L915">
        <v>552.1</v>
      </c>
      <c r="M915">
        <v>54</v>
      </c>
      <c r="N915">
        <v>0.53300000000000003</v>
      </c>
      <c r="O915">
        <v>1.0999999999999999E-2</v>
      </c>
      <c r="P915">
        <v>1317</v>
      </c>
      <c r="Q915">
        <v>89</v>
      </c>
      <c r="T915">
        <v>1429</v>
      </c>
      <c r="U915">
        <v>140</v>
      </c>
      <c r="V915">
        <v>205.98619686831699</v>
      </c>
      <c r="W915">
        <v>12.371092938959601</v>
      </c>
      <c r="X915">
        <v>291</v>
      </c>
      <c r="Y915">
        <v>23</v>
      </c>
    </row>
    <row r="916" spans="1:25" hidden="1" x14ac:dyDescent="0.25">
      <c r="A916" t="str">
        <f t="shared" si="14"/>
        <v>2023_Vic_Dooen_Chickpea_DetailedTOSTOS1VarietyHatTrickWaterTrtRainFed</v>
      </c>
      <c r="B916">
        <v>2023025</v>
      </c>
      <c r="C916" t="s">
        <v>86</v>
      </c>
      <c r="D916">
        <v>6</v>
      </c>
      <c r="E916" t="s">
        <v>34</v>
      </c>
      <c r="F916" t="s">
        <v>124</v>
      </c>
      <c r="G916" t="s">
        <v>30</v>
      </c>
      <c r="I916">
        <v>1</v>
      </c>
      <c r="J916" t="s">
        <v>87</v>
      </c>
      <c r="K916" s="1">
        <v>45279</v>
      </c>
      <c r="L916">
        <v>596.4</v>
      </c>
      <c r="M916">
        <v>54</v>
      </c>
      <c r="N916">
        <v>0.40899999999999997</v>
      </c>
      <c r="O916">
        <v>1.0999999999999999E-2</v>
      </c>
      <c r="P916">
        <v>1474</v>
      </c>
      <c r="Q916">
        <v>130</v>
      </c>
      <c r="T916">
        <v>1230</v>
      </c>
      <c r="U916">
        <v>170</v>
      </c>
      <c r="V916">
        <v>192.89070093746301</v>
      </c>
      <c r="W916">
        <v>12.371092938959601</v>
      </c>
      <c r="X916">
        <v>247</v>
      </c>
      <c r="Y916">
        <v>23</v>
      </c>
    </row>
    <row r="917" spans="1:25" hidden="1" x14ac:dyDescent="0.25">
      <c r="A917" t="str">
        <f t="shared" si="14"/>
        <v>2023_Vic_Dooen_Chickpea_DetailedTOSTOS2VarietyHatTrickWaterTrtRainFed</v>
      </c>
      <c r="B917">
        <v>2023025</v>
      </c>
      <c r="C917" t="s">
        <v>86</v>
      </c>
      <c r="D917">
        <v>6</v>
      </c>
      <c r="E917" t="s">
        <v>34</v>
      </c>
      <c r="F917" t="s">
        <v>124</v>
      </c>
      <c r="G917" t="s">
        <v>30</v>
      </c>
      <c r="I917">
        <v>2</v>
      </c>
      <c r="J917" t="s">
        <v>81</v>
      </c>
      <c r="K917" s="1">
        <v>45279</v>
      </c>
      <c r="L917">
        <v>355.3</v>
      </c>
      <c r="M917">
        <v>54</v>
      </c>
      <c r="N917">
        <v>0.51</v>
      </c>
      <c r="O917">
        <v>1.0999999999999999E-2</v>
      </c>
      <c r="P917">
        <v>911</v>
      </c>
      <c r="Q917">
        <v>89</v>
      </c>
      <c r="T917">
        <v>929</v>
      </c>
      <c r="U917">
        <v>140</v>
      </c>
      <c r="V917">
        <v>211.715</v>
      </c>
      <c r="W917">
        <v>10.7478160641369</v>
      </c>
      <c r="X917">
        <v>180</v>
      </c>
      <c r="Y917">
        <v>23</v>
      </c>
    </row>
    <row r="918" spans="1:25" hidden="1" x14ac:dyDescent="0.25">
      <c r="A918" t="str">
        <f t="shared" si="14"/>
        <v>2023_Vic_Dooen_Chickpea_DetailedTOSTOS1VarietyStrikerWaterTrtIrrigated</v>
      </c>
      <c r="B918">
        <v>2023025</v>
      </c>
      <c r="C918" t="s">
        <v>86</v>
      </c>
      <c r="D918">
        <v>6</v>
      </c>
      <c r="E918" t="s">
        <v>34</v>
      </c>
      <c r="F918" t="s">
        <v>125</v>
      </c>
      <c r="G918" t="s">
        <v>27</v>
      </c>
      <c r="I918">
        <v>1</v>
      </c>
      <c r="J918" t="s">
        <v>87</v>
      </c>
      <c r="K918" s="1">
        <v>45266</v>
      </c>
      <c r="L918">
        <v>883.6</v>
      </c>
      <c r="M918">
        <v>54</v>
      </c>
      <c r="N918">
        <v>0.45900000000000002</v>
      </c>
      <c r="O918">
        <v>1.0999999999999999E-2</v>
      </c>
      <c r="P918">
        <v>1345</v>
      </c>
      <c r="Q918">
        <v>99</v>
      </c>
      <c r="T918">
        <v>1779</v>
      </c>
      <c r="U918">
        <v>170</v>
      </c>
      <c r="V918">
        <v>214.722499999999</v>
      </c>
      <c r="W918">
        <v>10.7478160641369</v>
      </c>
      <c r="X918">
        <v>401</v>
      </c>
      <c r="Y918">
        <v>23</v>
      </c>
    </row>
    <row r="919" spans="1:25" hidden="1" x14ac:dyDescent="0.25">
      <c r="A919" t="str">
        <f t="shared" si="14"/>
        <v>2023_Vic_Dooen_Chickpea_DetailedTOSTOS2VarietyStrikerWaterTrtIrrigated</v>
      </c>
      <c r="B919">
        <v>2023025</v>
      </c>
      <c r="C919" t="s">
        <v>86</v>
      </c>
      <c r="D919">
        <v>6</v>
      </c>
      <c r="E919" t="s">
        <v>34</v>
      </c>
      <c r="F919" t="s">
        <v>125</v>
      </c>
      <c r="G919" t="s">
        <v>27</v>
      </c>
      <c r="I919">
        <v>2</v>
      </c>
      <c r="J919" t="s">
        <v>81</v>
      </c>
      <c r="K919" s="1">
        <v>45267</v>
      </c>
      <c r="L919">
        <v>618.29999999999995</v>
      </c>
      <c r="M919">
        <v>54</v>
      </c>
      <c r="N919">
        <v>0.53</v>
      </c>
      <c r="O919">
        <v>1.0999999999999999E-2</v>
      </c>
      <c r="P919">
        <v>1246</v>
      </c>
      <c r="Q919">
        <v>89</v>
      </c>
      <c r="T919">
        <v>1545</v>
      </c>
      <c r="U919">
        <v>140</v>
      </c>
      <c r="V919">
        <v>230.97499999999999</v>
      </c>
      <c r="W919">
        <v>10.7478160641369</v>
      </c>
      <c r="X919">
        <v>330</v>
      </c>
      <c r="Y919">
        <v>23</v>
      </c>
    </row>
    <row r="920" spans="1:25" hidden="1" x14ac:dyDescent="0.25">
      <c r="A920" t="str">
        <f t="shared" si="14"/>
        <v>2023_Vic_Dooen_Chickpea_DetailedTOSTOS1VarietyStrikerWaterTrtRainFed</v>
      </c>
      <c r="B920">
        <v>2023025</v>
      </c>
      <c r="C920" t="s">
        <v>86</v>
      </c>
      <c r="D920">
        <v>6</v>
      </c>
      <c r="E920" t="s">
        <v>34</v>
      </c>
      <c r="F920" t="s">
        <v>125</v>
      </c>
      <c r="G920" t="s">
        <v>30</v>
      </c>
      <c r="I920">
        <v>1</v>
      </c>
      <c r="J920" t="s">
        <v>87</v>
      </c>
      <c r="K920" s="1">
        <v>45266</v>
      </c>
      <c r="L920">
        <v>631.4</v>
      </c>
      <c r="M920">
        <v>54</v>
      </c>
      <c r="N920">
        <v>0.443</v>
      </c>
      <c r="O920">
        <v>1.0999999999999999E-2</v>
      </c>
      <c r="P920">
        <v>972</v>
      </c>
      <c r="Q920">
        <v>99</v>
      </c>
      <c r="T920">
        <v>1258</v>
      </c>
      <c r="U920">
        <v>170</v>
      </c>
      <c r="V920">
        <v>211.88249999999999</v>
      </c>
      <c r="W920">
        <v>10.7478160641369</v>
      </c>
      <c r="X920">
        <v>281</v>
      </c>
      <c r="Y920">
        <v>23</v>
      </c>
    </row>
    <row r="921" spans="1:25" hidden="1" x14ac:dyDescent="0.25">
      <c r="A921" t="str">
        <f t="shared" si="14"/>
        <v>2023_Vic_Dooen_Chickpea_DetailedTOSTOS2VarietyStrikerWaterTrtRainFed</v>
      </c>
      <c r="B921">
        <v>2023025</v>
      </c>
      <c r="C921" t="s">
        <v>86</v>
      </c>
      <c r="D921">
        <v>6</v>
      </c>
      <c r="E921" t="s">
        <v>34</v>
      </c>
      <c r="F921" t="s">
        <v>125</v>
      </c>
      <c r="G921" t="s">
        <v>30</v>
      </c>
      <c r="I921">
        <v>2</v>
      </c>
      <c r="J921" t="s">
        <v>81</v>
      </c>
      <c r="K921" s="1">
        <v>45267</v>
      </c>
      <c r="L921">
        <v>484</v>
      </c>
      <c r="M921">
        <v>54</v>
      </c>
      <c r="N921">
        <v>0.52900000000000003</v>
      </c>
      <c r="O921">
        <v>1.0999999999999999E-2</v>
      </c>
      <c r="P921">
        <v>912</v>
      </c>
      <c r="Q921">
        <v>89</v>
      </c>
      <c r="T921">
        <v>1174</v>
      </c>
      <c r="U921">
        <v>140</v>
      </c>
      <c r="V921">
        <v>221.17750000000001</v>
      </c>
      <c r="W921">
        <v>10.7478160641369</v>
      </c>
      <c r="X921">
        <v>254</v>
      </c>
      <c r="Y921">
        <v>23</v>
      </c>
    </row>
    <row r="922" spans="1:25" x14ac:dyDescent="0.25">
      <c r="A922" t="str">
        <f t="shared" si="14"/>
        <v>2023_Vic_Dooen_Lentil_DetailedTOSTOS1VarietyBoltWaterTrtIrrigated</v>
      </c>
      <c r="B922">
        <v>2023026</v>
      </c>
      <c r="C922" t="s">
        <v>88</v>
      </c>
      <c r="D922">
        <v>2</v>
      </c>
      <c r="E922" t="s">
        <v>25</v>
      </c>
      <c r="F922" t="s">
        <v>130</v>
      </c>
      <c r="G922" t="s">
        <v>27</v>
      </c>
      <c r="I922">
        <v>1</v>
      </c>
      <c r="J922" t="s">
        <v>87</v>
      </c>
      <c r="K922" s="1">
        <v>45109</v>
      </c>
      <c r="L922">
        <v>9.1050000000033506</v>
      </c>
      <c r="M922">
        <v>1.0500689510863499</v>
      </c>
    </row>
    <row r="923" spans="1:25" x14ac:dyDescent="0.25">
      <c r="A923" t="str">
        <f t="shared" si="14"/>
        <v>2023_Vic_Dooen_Lentil_DetailedTOSTOS2VarietyBoltWaterTrtIrrigated</v>
      </c>
      <c r="B923">
        <v>2023026</v>
      </c>
      <c r="C923" t="s">
        <v>88</v>
      </c>
      <c r="D923">
        <v>2</v>
      </c>
      <c r="E923" t="s">
        <v>25</v>
      </c>
      <c r="F923" t="s">
        <v>130</v>
      </c>
      <c r="G923" t="s">
        <v>27</v>
      </c>
      <c r="I923">
        <v>2</v>
      </c>
      <c r="J923" t="s">
        <v>81</v>
      </c>
      <c r="K923" s="1">
        <v>45161</v>
      </c>
      <c r="L923">
        <v>13.5875417099901</v>
      </c>
      <c r="M923">
        <v>1.07296696587782</v>
      </c>
    </row>
    <row r="924" spans="1:25" x14ac:dyDescent="0.25">
      <c r="A924" t="str">
        <f t="shared" si="14"/>
        <v>2023_Vic_Dooen_Lentil_DetailedTOSTOS1VarietyBoltWaterTrtRainFed</v>
      </c>
      <c r="B924">
        <v>2023026</v>
      </c>
      <c r="C924" t="s">
        <v>88</v>
      </c>
      <c r="D924">
        <v>2</v>
      </c>
      <c r="E924" t="s">
        <v>25</v>
      </c>
      <c r="F924" t="s">
        <v>130</v>
      </c>
      <c r="G924" t="s">
        <v>30</v>
      </c>
      <c r="I924">
        <v>1</v>
      </c>
      <c r="J924" t="s">
        <v>87</v>
      </c>
      <c r="K924" s="1">
        <v>45109</v>
      </c>
      <c r="L924">
        <v>8.9374582900109605</v>
      </c>
      <c r="M924">
        <v>1.07296696587782</v>
      </c>
    </row>
    <row r="925" spans="1:25" x14ac:dyDescent="0.25">
      <c r="A925" t="str">
        <f t="shared" si="14"/>
        <v>2023_Vic_Dooen_Lentil_DetailedTOSTOS2VarietyBoltWaterTrtRainFed</v>
      </c>
      <c r="B925">
        <v>2023026</v>
      </c>
      <c r="C925" t="s">
        <v>88</v>
      </c>
      <c r="D925">
        <v>2</v>
      </c>
      <c r="E925" t="s">
        <v>25</v>
      </c>
      <c r="F925" t="s">
        <v>130</v>
      </c>
      <c r="G925" t="s">
        <v>30</v>
      </c>
      <c r="I925">
        <v>2</v>
      </c>
      <c r="J925" t="s">
        <v>81</v>
      </c>
      <c r="K925" s="1">
        <v>45161</v>
      </c>
      <c r="L925">
        <v>13.2150000000003</v>
      </c>
      <c r="M925">
        <v>1.05006895108619</v>
      </c>
    </row>
    <row r="926" spans="1:25" x14ac:dyDescent="0.25">
      <c r="A926" t="str">
        <f t="shared" si="14"/>
        <v>2023_Vic_Dooen_Lentil_DetailedTOSTOS1VarietyHallmarkXTWaterTrtIrrigated</v>
      </c>
      <c r="B926">
        <v>2023026</v>
      </c>
      <c r="C926" t="s">
        <v>88</v>
      </c>
      <c r="D926">
        <v>2</v>
      </c>
      <c r="E926" t="s">
        <v>25</v>
      </c>
      <c r="F926" t="s">
        <v>131</v>
      </c>
      <c r="G926" t="s">
        <v>27</v>
      </c>
      <c r="I926">
        <v>1</v>
      </c>
      <c r="J926" t="s">
        <v>87</v>
      </c>
      <c r="K926" s="1">
        <v>45109</v>
      </c>
      <c r="L926">
        <v>8.21750000000028</v>
      </c>
      <c r="M926">
        <v>1.0500689510862</v>
      </c>
    </row>
    <row r="927" spans="1:25" x14ac:dyDescent="0.25">
      <c r="A927" t="str">
        <f t="shared" si="14"/>
        <v>2023_Vic_Dooen_Lentil_DetailedTOSTOS2VarietyHallmarkXTWaterTrtIrrigated</v>
      </c>
      <c r="B927">
        <v>2023026</v>
      </c>
      <c r="C927" t="s">
        <v>88</v>
      </c>
      <c r="D927">
        <v>2</v>
      </c>
      <c r="E927" t="s">
        <v>25</v>
      </c>
      <c r="F927" t="s">
        <v>131</v>
      </c>
      <c r="G927" t="s">
        <v>27</v>
      </c>
      <c r="I927">
        <v>2</v>
      </c>
      <c r="J927" t="s">
        <v>81</v>
      </c>
      <c r="K927" s="1">
        <v>45161</v>
      </c>
      <c r="L927">
        <v>12.4204885275427</v>
      </c>
      <c r="M927">
        <v>1.0598057178413101</v>
      </c>
    </row>
    <row r="928" spans="1:25" x14ac:dyDescent="0.25">
      <c r="A928" t="str">
        <f t="shared" si="14"/>
        <v>2023_Vic_Dooen_Lentil_DetailedTOSTOS1VarietyHallmarkXTWaterTrtRainFed</v>
      </c>
      <c r="B928">
        <v>2023026</v>
      </c>
      <c r="C928" t="s">
        <v>88</v>
      </c>
      <c r="D928">
        <v>2</v>
      </c>
      <c r="E928" t="s">
        <v>25</v>
      </c>
      <c r="F928" t="s">
        <v>131</v>
      </c>
      <c r="G928" t="s">
        <v>30</v>
      </c>
      <c r="I928">
        <v>1</v>
      </c>
      <c r="J928" t="s">
        <v>87</v>
      </c>
      <c r="K928" s="1">
        <v>45109</v>
      </c>
      <c r="L928">
        <v>7.6494697624684997</v>
      </c>
      <c r="M928">
        <v>1.0608198824638699</v>
      </c>
    </row>
    <row r="929" spans="1:13" x14ac:dyDescent="0.25">
      <c r="A929" t="str">
        <f t="shared" si="14"/>
        <v>2023_Vic_Dooen_Lentil_DetailedTOSTOS2VarietyHallmarkXTWaterTrtRainFed</v>
      </c>
      <c r="B929">
        <v>2023026</v>
      </c>
      <c r="C929" t="s">
        <v>88</v>
      </c>
      <c r="D929">
        <v>2</v>
      </c>
      <c r="E929" t="s">
        <v>25</v>
      </c>
      <c r="F929" t="s">
        <v>131</v>
      </c>
      <c r="G929" t="s">
        <v>30</v>
      </c>
      <c r="I929">
        <v>2</v>
      </c>
      <c r="J929" t="s">
        <v>81</v>
      </c>
      <c r="K929" s="1">
        <v>45161</v>
      </c>
      <c r="L929">
        <v>13.29754170999</v>
      </c>
      <c r="M929">
        <v>1.07296696587781</v>
      </c>
    </row>
    <row r="930" spans="1:13" x14ac:dyDescent="0.25">
      <c r="A930" t="str">
        <f t="shared" si="14"/>
        <v>2023_Vic_Dooen_Lentil_DetailedTOSTOS1VarietyJumbo2WaterTrtIrrigated</v>
      </c>
      <c r="B930">
        <v>2023026</v>
      </c>
      <c r="C930" t="s">
        <v>88</v>
      </c>
      <c r="D930">
        <v>2</v>
      </c>
      <c r="E930" t="s">
        <v>25</v>
      </c>
      <c r="F930" t="s">
        <v>132</v>
      </c>
      <c r="G930" t="s">
        <v>27</v>
      </c>
      <c r="I930">
        <v>1</v>
      </c>
      <c r="J930" t="s">
        <v>87</v>
      </c>
      <c r="K930" s="1">
        <v>45109</v>
      </c>
      <c r="L930">
        <v>7.7855302375320496</v>
      </c>
      <c r="M930">
        <v>1.0608198824638699</v>
      </c>
    </row>
    <row r="931" spans="1:13" x14ac:dyDescent="0.25">
      <c r="A931" t="str">
        <f t="shared" si="14"/>
        <v>2023_Vic_Dooen_Lentil_DetailedTOSTOS2VarietyJumbo2WaterTrtIrrigated</v>
      </c>
      <c r="B931">
        <v>2023026</v>
      </c>
      <c r="C931" t="s">
        <v>88</v>
      </c>
      <c r="D931">
        <v>2</v>
      </c>
      <c r="E931" t="s">
        <v>25</v>
      </c>
      <c r="F931" t="s">
        <v>132</v>
      </c>
      <c r="G931" t="s">
        <v>27</v>
      </c>
      <c r="I931">
        <v>2</v>
      </c>
      <c r="J931" t="s">
        <v>81</v>
      </c>
      <c r="K931" s="1">
        <v>45161</v>
      </c>
      <c r="L931">
        <v>10.1869697624685</v>
      </c>
      <c r="M931">
        <v>1.0608198824638699</v>
      </c>
    </row>
    <row r="932" spans="1:13" x14ac:dyDescent="0.25">
      <c r="A932" t="str">
        <f t="shared" si="14"/>
        <v>2023_Vic_Dooen_Lentil_DetailedTOSTOS1VarietyJumbo2WaterTrtRainFed</v>
      </c>
      <c r="B932">
        <v>2023026</v>
      </c>
      <c r="C932" t="s">
        <v>88</v>
      </c>
      <c r="D932">
        <v>2</v>
      </c>
      <c r="E932" t="s">
        <v>25</v>
      </c>
      <c r="F932" t="s">
        <v>132</v>
      </c>
      <c r="G932" t="s">
        <v>30</v>
      </c>
      <c r="I932">
        <v>1</v>
      </c>
      <c r="J932" t="s">
        <v>87</v>
      </c>
      <c r="K932" s="1">
        <v>45109</v>
      </c>
      <c r="L932">
        <v>8.0125417099899607</v>
      </c>
      <c r="M932">
        <v>1.0729669658778</v>
      </c>
    </row>
    <row r="933" spans="1:13" x14ac:dyDescent="0.25">
      <c r="A933" t="str">
        <f t="shared" si="14"/>
        <v>2023_Vic_Dooen_Lentil_DetailedTOSTOS2VarietyJumbo2WaterTrtRainFed</v>
      </c>
      <c r="B933">
        <v>2023026</v>
      </c>
      <c r="C933" t="s">
        <v>88</v>
      </c>
      <c r="D933">
        <v>2</v>
      </c>
      <c r="E933" t="s">
        <v>25</v>
      </c>
      <c r="F933" t="s">
        <v>132</v>
      </c>
      <c r="G933" t="s">
        <v>30</v>
      </c>
      <c r="I933">
        <v>2</v>
      </c>
      <c r="J933" t="s">
        <v>81</v>
      </c>
      <c r="K933" s="1">
        <v>45161</v>
      </c>
      <c r="L933">
        <v>12.927458290010801</v>
      </c>
      <c r="M933">
        <v>1.07296696587781</v>
      </c>
    </row>
    <row r="934" spans="1:13" x14ac:dyDescent="0.25">
      <c r="A934" t="str">
        <f t="shared" si="14"/>
        <v>2023_Vic_Dooen_Lentil_DetailedTOSTOS1VarietyKelpieXTWaterTrtIrrigated</v>
      </c>
      <c r="B934">
        <v>2023026</v>
      </c>
      <c r="C934" t="s">
        <v>88</v>
      </c>
      <c r="D934">
        <v>2</v>
      </c>
      <c r="E934" t="s">
        <v>25</v>
      </c>
      <c r="F934" t="s">
        <v>133</v>
      </c>
      <c r="G934" t="s">
        <v>27</v>
      </c>
      <c r="I934">
        <v>1</v>
      </c>
      <c r="J934" t="s">
        <v>87</v>
      </c>
      <c r="K934" s="1">
        <v>45109</v>
      </c>
      <c r="L934">
        <v>7.0194697624683702</v>
      </c>
      <c r="M934">
        <v>1.0608198824638699</v>
      </c>
    </row>
    <row r="935" spans="1:13" x14ac:dyDescent="0.25">
      <c r="A935" t="str">
        <f t="shared" si="14"/>
        <v>2023_Vic_Dooen_Lentil_DetailedTOSTOS2VarietyKelpieXTWaterTrtIrrigated</v>
      </c>
      <c r="B935">
        <v>2023026</v>
      </c>
      <c r="C935" t="s">
        <v>88</v>
      </c>
      <c r="D935">
        <v>2</v>
      </c>
      <c r="E935" t="s">
        <v>25</v>
      </c>
      <c r="F935" t="s">
        <v>133</v>
      </c>
      <c r="G935" t="s">
        <v>27</v>
      </c>
      <c r="I935">
        <v>2</v>
      </c>
      <c r="J935" t="s">
        <v>81</v>
      </c>
      <c r="K935" s="1">
        <v>45161</v>
      </c>
      <c r="L935">
        <v>12.4200000000004</v>
      </c>
      <c r="M935">
        <v>1.0500689510862</v>
      </c>
    </row>
    <row r="936" spans="1:13" x14ac:dyDescent="0.25">
      <c r="A936" t="str">
        <f t="shared" si="14"/>
        <v>2023_Vic_Dooen_Lentil_DetailedTOSTOS1VarietyKelpieXTWaterTrtRainFed</v>
      </c>
      <c r="B936">
        <v>2023026</v>
      </c>
      <c r="C936" t="s">
        <v>88</v>
      </c>
      <c r="D936">
        <v>2</v>
      </c>
      <c r="E936" t="s">
        <v>25</v>
      </c>
      <c r="F936" t="s">
        <v>133</v>
      </c>
      <c r="G936" t="s">
        <v>30</v>
      </c>
      <c r="I936">
        <v>1</v>
      </c>
      <c r="J936" t="s">
        <v>87</v>
      </c>
      <c r="K936" s="1">
        <v>45109</v>
      </c>
      <c r="L936">
        <v>8.0180302375322192</v>
      </c>
      <c r="M936">
        <v>1.0608198824638699</v>
      </c>
    </row>
    <row r="937" spans="1:13" x14ac:dyDescent="0.25">
      <c r="A937" t="str">
        <f t="shared" si="14"/>
        <v>2023_Vic_Dooen_Lentil_DetailedTOSTOS2VarietyKelpieXTWaterTrtRainFed</v>
      </c>
      <c r="B937">
        <v>2023026</v>
      </c>
      <c r="C937" t="s">
        <v>88</v>
      </c>
      <c r="D937">
        <v>2</v>
      </c>
      <c r="E937" t="s">
        <v>25</v>
      </c>
      <c r="F937" t="s">
        <v>133</v>
      </c>
      <c r="G937" t="s">
        <v>30</v>
      </c>
      <c r="I937">
        <v>2</v>
      </c>
      <c r="J937" t="s">
        <v>81</v>
      </c>
      <c r="K937" s="1">
        <v>45161</v>
      </c>
      <c r="L937">
        <v>13.805000000000399</v>
      </c>
      <c r="M937">
        <v>1.0500689510862</v>
      </c>
    </row>
    <row r="938" spans="1:13" x14ac:dyDescent="0.25">
      <c r="A938" t="str">
        <f t="shared" si="14"/>
        <v>2023_Vic_Dooen_Lentil_DetailedTOSTOS1VarietyBoltWaterTrtIrrigated</v>
      </c>
      <c r="B938">
        <v>2023026</v>
      </c>
      <c r="C938" t="s">
        <v>88</v>
      </c>
      <c r="D938">
        <v>3</v>
      </c>
      <c r="E938" t="s">
        <v>31</v>
      </c>
      <c r="F938" t="s">
        <v>130</v>
      </c>
      <c r="G938" t="s">
        <v>27</v>
      </c>
      <c r="I938">
        <v>1</v>
      </c>
      <c r="J938" t="s">
        <v>87</v>
      </c>
      <c r="K938" s="1">
        <v>45138</v>
      </c>
      <c r="L938">
        <v>34.795000000006198</v>
      </c>
      <c r="M938">
        <v>3.8439023450437402</v>
      </c>
    </row>
    <row r="939" spans="1:13" x14ac:dyDescent="0.25">
      <c r="A939" t="str">
        <f t="shared" si="14"/>
        <v>2023_Vic_Dooen_Lentil_DetailedTOSTOS2VarietyBoltWaterTrtIrrigated</v>
      </c>
      <c r="B939">
        <v>2023026</v>
      </c>
      <c r="C939" t="s">
        <v>88</v>
      </c>
      <c r="D939">
        <v>3</v>
      </c>
      <c r="E939" t="s">
        <v>31</v>
      </c>
      <c r="F939" t="s">
        <v>130</v>
      </c>
      <c r="G939" t="s">
        <v>27</v>
      </c>
      <c r="I939">
        <v>2</v>
      </c>
      <c r="J939" t="s">
        <v>81</v>
      </c>
      <c r="K939" s="1">
        <v>45183</v>
      </c>
      <c r="L939">
        <v>75.377078993743098</v>
      </c>
      <c r="M939">
        <v>3.8887182749190901</v>
      </c>
    </row>
    <row r="940" spans="1:13" x14ac:dyDescent="0.25">
      <c r="A940" t="str">
        <f t="shared" si="14"/>
        <v>2023_Vic_Dooen_Lentil_DetailedTOSTOS1VarietyBoltWaterTrtRainFed</v>
      </c>
      <c r="B940">
        <v>2023026</v>
      </c>
      <c r="C940" t="s">
        <v>88</v>
      </c>
      <c r="D940">
        <v>3</v>
      </c>
      <c r="E940" t="s">
        <v>31</v>
      </c>
      <c r="F940" t="s">
        <v>130</v>
      </c>
      <c r="G940" t="s">
        <v>30</v>
      </c>
      <c r="I940">
        <v>1</v>
      </c>
      <c r="J940" t="s">
        <v>87</v>
      </c>
      <c r="K940" s="1">
        <v>45138</v>
      </c>
      <c r="L940">
        <v>34.177921006258103</v>
      </c>
      <c r="M940">
        <v>3.8887182749190701</v>
      </c>
    </row>
    <row r="941" spans="1:13" x14ac:dyDescent="0.25">
      <c r="A941" t="str">
        <f t="shared" si="14"/>
        <v>2023_Vic_Dooen_Lentil_DetailedTOSTOS2VarietyBoltWaterTrtRainFed</v>
      </c>
      <c r="B941">
        <v>2023026</v>
      </c>
      <c r="C941" t="s">
        <v>88</v>
      </c>
      <c r="D941">
        <v>3</v>
      </c>
      <c r="E941" t="s">
        <v>31</v>
      </c>
      <c r="F941" t="s">
        <v>130</v>
      </c>
      <c r="G941" t="s">
        <v>30</v>
      </c>
      <c r="I941">
        <v>2</v>
      </c>
      <c r="J941" t="s">
        <v>81</v>
      </c>
      <c r="K941" s="1">
        <v>45183</v>
      </c>
      <c r="L941">
        <v>72.979999999999905</v>
      </c>
      <c r="M941">
        <v>3.8439023450437602</v>
      </c>
    </row>
    <row r="942" spans="1:13" x14ac:dyDescent="0.25">
      <c r="A942" t="str">
        <f t="shared" si="14"/>
        <v>2023_Vic_Dooen_Lentil_DetailedTOSTOS1VarietyHallmarkXTWaterTrtIrrigated</v>
      </c>
      <c r="B942">
        <v>2023026</v>
      </c>
      <c r="C942" t="s">
        <v>88</v>
      </c>
      <c r="D942">
        <v>3</v>
      </c>
      <c r="E942" t="s">
        <v>31</v>
      </c>
      <c r="F942" t="s">
        <v>131</v>
      </c>
      <c r="G942" t="s">
        <v>27</v>
      </c>
      <c r="I942">
        <v>1</v>
      </c>
      <c r="J942" t="s">
        <v>87</v>
      </c>
      <c r="K942" s="1">
        <v>45138</v>
      </c>
      <c r="L942">
        <v>27.625000000000298</v>
      </c>
      <c r="M942">
        <v>3.8439023450437602</v>
      </c>
    </row>
    <row r="943" spans="1:13" x14ac:dyDescent="0.25">
      <c r="A943" t="str">
        <f t="shared" si="14"/>
        <v>2023_Vic_Dooen_Lentil_DetailedTOSTOS2VarietyHallmarkXTWaterTrtIrrigated</v>
      </c>
      <c r="B943">
        <v>2023026</v>
      </c>
      <c r="C943" t="s">
        <v>88</v>
      </c>
      <c r="D943">
        <v>3</v>
      </c>
      <c r="E943" t="s">
        <v>31</v>
      </c>
      <c r="F943" t="s">
        <v>131</v>
      </c>
      <c r="G943" t="s">
        <v>27</v>
      </c>
      <c r="I943">
        <v>2</v>
      </c>
      <c r="J943" t="s">
        <v>81</v>
      </c>
      <c r="K943" s="1">
        <v>45183</v>
      </c>
      <c r="L943">
        <v>73.311261052125701</v>
      </c>
      <c r="M943">
        <v>3.8640121207374101</v>
      </c>
    </row>
    <row r="944" spans="1:13" x14ac:dyDescent="0.25">
      <c r="A944" t="str">
        <f t="shared" si="14"/>
        <v>2023_Vic_Dooen_Lentil_DetailedTOSTOS1VarietyHallmarkXTWaterTrtRainFed</v>
      </c>
      <c r="B944">
        <v>2023026</v>
      </c>
      <c r="C944" t="s">
        <v>88</v>
      </c>
      <c r="D944">
        <v>3</v>
      </c>
      <c r="E944" t="s">
        <v>31</v>
      </c>
      <c r="F944" t="s">
        <v>131</v>
      </c>
      <c r="G944" t="s">
        <v>30</v>
      </c>
      <c r="I944">
        <v>1</v>
      </c>
      <c r="J944" t="s">
        <v>87</v>
      </c>
      <c r="K944" s="1">
        <v>45138</v>
      </c>
      <c r="L944">
        <v>29.0191599541321</v>
      </c>
      <c r="M944">
        <v>3.86537328764308</v>
      </c>
    </row>
    <row r="945" spans="1:13" x14ac:dyDescent="0.25">
      <c r="A945" t="str">
        <f t="shared" si="14"/>
        <v>2023_Vic_Dooen_Lentil_DetailedTOSTOS2VarietyHallmarkXTWaterTrtRainFed</v>
      </c>
      <c r="B945">
        <v>2023026</v>
      </c>
      <c r="C945" t="s">
        <v>88</v>
      </c>
      <c r="D945">
        <v>3</v>
      </c>
      <c r="E945" t="s">
        <v>31</v>
      </c>
      <c r="F945" t="s">
        <v>131</v>
      </c>
      <c r="G945" t="s">
        <v>30</v>
      </c>
      <c r="I945">
        <v>2</v>
      </c>
      <c r="J945" t="s">
        <v>81</v>
      </c>
      <c r="K945" s="1">
        <v>45183</v>
      </c>
      <c r="L945">
        <v>70.172078993742701</v>
      </c>
      <c r="M945">
        <v>3.8887182749190998</v>
      </c>
    </row>
    <row r="946" spans="1:13" x14ac:dyDescent="0.25">
      <c r="A946" t="str">
        <f t="shared" si="14"/>
        <v>2023_Vic_Dooen_Lentil_DetailedTOSTOS1VarietyJumbo2WaterTrtIrrigated</v>
      </c>
      <c r="B946">
        <v>2023026</v>
      </c>
      <c r="C946" t="s">
        <v>88</v>
      </c>
      <c r="D946">
        <v>3</v>
      </c>
      <c r="E946" t="s">
        <v>31</v>
      </c>
      <c r="F946" t="s">
        <v>132</v>
      </c>
      <c r="G946" t="s">
        <v>27</v>
      </c>
      <c r="I946">
        <v>1</v>
      </c>
      <c r="J946" t="s">
        <v>87</v>
      </c>
      <c r="K946" s="1">
        <v>45138</v>
      </c>
      <c r="L946">
        <v>32.635840045868399</v>
      </c>
      <c r="M946">
        <v>3.8653732876430702</v>
      </c>
    </row>
    <row r="947" spans="1:13" x14ac:dyDescent="0.25">
      <c r="A947" t="str">
        <f t="shared" si="14"/>
        <v>2023_Vic_Dooen_Lentil_DetailedTOSTOS2VarietyJumbo2WaterTrtIrrigated</v>
      </c>
      <c r="B947">
        <v>2023026</v>
      </c>
      <c r="C947" t="s">
        <v>88</v>
      </c>
      <c r="D947">
        <v>3</v>
      </c>
      <c r="E947" t="s">
        <v>31</v>
      </c>
      <c r="F947" t="s">
        <v>132</v>
      </c>
      <c r="G947" t="s">
        <v>27</v>
      </c>
      <c r="I947">
        <v>2</v>
      </c>
      <c r="J947" t="s">
        <v>81</v>
      </c>
      <c r="K947" s="1">
        <v>45183</v>
      </c>
      <c r="L947">
        <v>55.919159954131601</v>
      </c>
      <c r="M947">
        <v>3.86537328764308</v>
      </c>
    </row>
    <row r="948" spans="1:13" x14ac:dyDescent="0.25">
      <c r="A948" t="str">
        <f t="shared" si="14"/>
        <v>2023_Vic_Dooen_Lentil_DetailedTOSTOS1VarietyJumbo2WaterTrtRainFed</v>
      </c>
      <c r="B948">
        <v>2023026</v>
      </c>
      <c r="C948" t="s">
        <v>88</v>
      </c>
      <c r="D948">
        <v>3</v>
      </c>
      <c r="E948" t="s">
        <v>31</v>
      </c>
      <c r="F948" t="s">
        <v>132</v>
      </c>
      <c r="G948" t="s">
        <v>30</v>
      </c>
      <c r="I948">
        <v>1</v>
      </c>
      <c r="J948" t="s">
        <v>87</v>
      </c>
      <c r="K948" s="1">
        <v>45138</v>
      </c>
      <c r="L948">
        <v>31.117078993743</v>
      </c>
      <c r="M948">
        <v>3.8887182749190901</v>
      </c>
    </row>
    <row r="949" spans="1:13" x14ac:dyDescent="0.25">
      <c r="A949" t="str">
        <f t="shared" si="14"/>
        <v>2023_Vic_Dooen_Lentil_DetailedTOSTOS2VarietyJumbo2WaterTrtRainFed</v>
      </c>
      <c r="B949">
        <v>2023026</v>
      </c>
      <c r="C949" t="s">
        <v>88</v>
      </c>
      <c r="D949">
        <v>3</v>
      </c>
      <c r="E949" t="s">
        <v>31</v>
      </c>
      <c r="F949" t="s">
        <v>132</v>
      </c>
      <c r="G949" t="s">
        <v>30</v>
      </c>
      <c r="I949">
        <v>2</v>
      </c>
      <c r="J949" t="s">
        <v>81</v>
      </c>
      <c r="K949" s="1">
        <v>45183</v>
      </c>
      <c r="L949">
        <v>69.302921006257506</v>
      </c>
      <c r="M949">
        <v>3.8887182749190998</v>
      </c>
    </row>
    <row r="950" spans="1:13" x14ac:dyDescent="0.25">
      <c r="A950" t="str">
        <f t="shared" si="14"/>
        <v>2023_Vic_Dooen_Lentil_DetailedTOSTOS1VarietyKelpieXTWaterTrtIrrigated</v>
      </c>
      <c r="B950">
        <v>2023026</v>
      </c>
      <c r="C950" t="s">
        <v>88</v>
      </c>
      <c r="D950">
        <v>3</v>
      </c>
      <c r="E950" t="s">
        <v>31</v>
      </c>
      <c r="F950" t="s">
        <v>133</v>
      </c>
      <c r="G950" t="s">
        <v>27</v>
      </c>
      <c r="I950">
        <v>1</v>
      </c>
      <c r="J950" t="s">
        <v>87</v>
      </c>
      <c r="K950" s="1">
        <v>45138</v>
      </c>
      <c r="L950">
        <v>35.799159954131802</v>
      </c>
      <c r="M950">
        <v>3.8653732876430702</v>
      </c>
    </row>
    <row r="951" spans="1:13" x14ac:dyDescent="0.25">
      <c r="A951" t="str">
        <f t="shared" si="14"/>
        <v>2023_Vic_Dooen_Lentil_DetailedTOSTOS2VarietyKelpieXTWaterTrtIrrigated</v>
      </c>
      <c r="B951">
        <v>2023026</v>
      </c>
      <c r="C951" t="s">
        <v>88</v>
      </c>
      <c r="D951">
        <v>3</v>
      </c>
      <c r="E951" t="s">
        <v>31</v>
      </c>
      <c r="F951" t="s">
        <v>133</v>
      </c>
      <c r="G951" t="s">
        <v>27</v>
      </c>
      <c r="I951">
        <v>2</v>
      </c>
      <c r="J951" t="s">
        <v>81</v>
      </c>
      <c r="K951" s="1">
        <v>45183</v>
      </c>
      <c r="L951">
        <v>61.307499999999798</v>
      </c>
      <c r="M951">
        <v>3.8439023450437699</v>
      </c>
    </row>
    <row r="952" spans="1:13" x14ac:dyDescent="0.25">
      <c r="A952" t="str">
        <f t="shared" si="14"/>
        <v>2023_Vic_Dooen_Lentil_DetailedTOSTOS1VarietyKelpieXTWaterTrtRainFed</v>
      </c>
      <c r="B952">
        <v>2023026</v>
      </c>
      <c r="C952" t="s">
        <v>88</v>
      </c>
      <c r="D952">
        <v>3</v>
      </c>
      <c r="E952" t="s">
        <v>31</v>
      </c>
      <c r="F952" t="s">
        <v>133</v>
      </c>
      <c r="G952" t="s">
        <v>30</v>
      </c>
      <c r="I952">
        <v>1</v>
      </c>
      <c r="J952" t="s">
        <v>87</v>
      </c>
      <c r="K952" s="1">
        <v>45138</v>
      </c>
      <c r="L952">
        <v>27.150840045868701</v>
      </c>
      <c r="M952">
        <v>3.86537328764308</v>
      </c>
    </row>
    <row r="953" spans="1:13" x14ac:dyDescent="0.25">
      <c r="A953" t="str">
        <f t="shared" si="14"/>
        <v>2023_Vic_Dooen_Lentil_DetailedTOSTOS2VarietyKelpieXTWaterTrtRainFed</v>
      </c>
      <c r="B953">
        <v>2023026</v>
      </c>
      <c r="C953" t="s">
        <v>88</v>
      </c>
      <c r="D953">
        <v>3</v>
      </c>
      <c r="E953" t="s">
        <v>31</v>
      </c>
      <c r="F953" t="s">
        <v>133</v>
      </c>
      <c r="G953" t="s">
        <v>30</v>
      </c>
      <c r="I953">
        <v>2</v>
      </c>
      <c r="J953" t="s">
        <v>81</v>
      </c>
      <c r="K953" s="1">
        <v>45183</v>
      </c>
      <c r="L953">
        <v>64.470000000000297</v>
      </c>
      <c r="M953">
        <v>3.8439023450437801</v>
      </c>
    </row>
    <row r="954" spans="1:13" x14ac:dyDescent="0.25">
      <c r="A954" t="str">
        <f t="shared" si="14"/>
        <v>2023_Vic_Dooen_Lentil_DetailedTOSTOS1VarietyBoltWaterTrtIrrigated</v>
      </c>
      <c r="B954">
        <v>2023026</v>
      </c>
      <c r="C954" t="s">
        <v>88</v>
      </c>
      <c r="D954">
        <v>4</v>
      </c>
      <c r="E954" t="s">
        <v>32</v>
      </c>
      <c r="F954" t="s">
        <v>130</v>
      </c>
      <c r="G954" t="s">
        <v>27</v>
      </c>
      <c r="I954">
        <v>1</v>
      </c>
      <c r="J954" t="s">
        <v>87</v>
      </c>
      <c r="K954" s="1">
        <v>45183</v>
      </c>
      <c r="L954">
        <v>286.93000000000399</v>
      </c>
      <c r="M954">
        <v>24.267889686766399</v>
      </c>
    </row>
    <row r="955" spans="1:13" x14ac:dyDescent="0.25">
      <c r="A955" t="str">
        <f t="shared" si="14"/>
        <v>2023_Vic_Dooen_Lentil_DetailedTOSTOS2VarietyBoltWaterTrtIrrigated</v>
      </c>
      <c r="B955">
        <v>2023026</v>
      </c>
      <c r="C955" t="s">
        <v>88</v>
      </c>
      <c r="D955">
        <v>4</v>
      </c>
      <c r="E955" t="s">
        <v>32</v>
      </c>
      <c r="F955" t="s">
        <v>130</v>
      </c>
      <c r="G955" t="s">
        <v>27</v>
      </c>
      <c r="I955">
        <v>2</v>
      </c>
      <c r="J955" t="s">
        <v>81</v>
      </c>
      <c r="K955" s="1">
        <v>45209</v>
      </c>
      <c r="L955">
        <v>274.692503133515</v>
      </c>
      <c r="M955">
        <v>24.2678911629453</v>
      </c>
    </row>
    <row r="956" spans="1:13" x14ac:dyDescent="0.25">
      <c r="A956" t="str">
        <f t="shared" si="14"/>
        <v>2023_Vic_Dooen_Lentil_DetailedTOSTOS1VarietyBoltWaterTrtRainFed</v>
      </c>
      <c r="B956">
        <v>2023026</v>
      </c>
      <c r="C956" t="s">
        <v>88</v>
      </c>
      <c r="D956">
        <v>4</v>
      </c>
      <c r="E956" t="s">
        <v>32</v>
      </c>
      <c r="F956" t="s">
        <v>130</v>
      </c>
      <c r="G956" t="s">
        <v>30</v>
      </c>
      <c r="I956">
        <v>1</v>
      </c>
      <c r="J956" t="s">
        <v>87</v>
      </c>
      <c r="K956" s="1">
        <v>45183</v>
      </c>
      <c r="L956">
        <v>251.52863476559901</v>
      </c>
      <c r="M956">
        <v>26.700699785590199</v>
      </c>
    </row>
    <row r="957" spans="1:13" x14ac:dyDescent="0.25">
      <c r="A957" t="str">
        <f t="shared" si="14"/>
        <v>2023_Vic_Dooen_Lentil_DetailedTOSTOS2VarietyBoltWaterTrtRainFed</v>
      </c>
      <c r="B957">
        <v>2023026</v>
      </c>
      <c r="C957" t="s">
        <v>88</v>
      </c>
      <c r="D957">
        <v>4</v>
      </c>
      <c r="E957" t="s">
        <v>32</v>
      </c>
      <c r="F957" t="s">
        <v>130</v>
      </c>
      <c r="G957" t="s">
        <v>30</v>
      </c>
      <c r="I957">
        <v>2</v>
      </c>
      <c r="J957" t="s">
        <v>81</v>
      </c>
      <c r="K957" s="1">
        <v>45209</v>
      </c>
      <c r="L957">
        <v>235.64249999999899</v>
      </c>
      <c r="M957">
        <v>24.267889686766299</v>
      </c>
    </row>
    <row r="958" spans="1:13" x14ac:dyDescent="0.25">
      <c r="A958" t="str">
        <f t="shared" si="14"/>
        <v>2023_Vic_Dooen_Lentil_DetailedTOSTOS1VarietyHallmarkXTWaterTrtIrrigated</v>
      </c>
      <c r="B958">
        <v>2023026</v>
      </c>
      <c r="C958" t="s">
        <v>88</v>
      </c>
      <c r="D958">
        <v>4</v>
      </c>
      <c r="E958" t="s">
        <v>32</v>
      </c>
      <c r="F958" t="s">
        <v>131</v>
      </c>
      <c r="G958" t="s">
        <v>27</v>
      </c>
      <c r="I958">
        <v>1</v>
      </c>
      <c r="J958" t="s">
        <v>87</v>
      </c>
      <c r="K958" s="1">
        <v>45183</v>
      </c>
      <c r="L958">
        <v>246.759999999998</v>
      </c>
      <c r="M958">
        <v>24.267889686766299</v>
      </c>
    </row>
    <row r="959" spans="1:13" x14ac:dyDescent="0.25">
      <c r="A959" t="str">
        <f t="shared" si="14"/>
        <v>2023_Vic_Dooen_Lentil_DetailedTOSTOS2VarietyHallmarkXTWaterTrtIrrigated</v>
      </c>
      <c r="B959">
        <v>2023026</v>
      </c>
      <c r="C959" t="s">
        <v>88</v>
      </c>
      <c r="D959">
        <v>4</v>
      </c>
      <c r="E959" t="s">
        <v>32</v>
      </c>
      <c r="F959" t="s">
        <v>131</v>
      </c>
      <c r="G959" t="s">
        <v>27</v>
      </c>
      <c r="I959">
        <v>2</v>
      </c>
      <c r="J959" t="s">
        <v>81</v>
      </c>
      <c r="K959" s="1">
        <v>45209</v>
      </c>
      <c r="L959">
        <v>197.929993482415</v>
      </c>
      <c r="M959">
        <v>24.267890424855398</v>
      </c>
    </row>
    <row r="960" spans="1:13" x14ac:dyDescent="0.25">
      <c r="A960" t="str">
        <f t="shared" si="14"/>
        <v>2023_Vic_Dooen_Lentil_DetailedTOSTOS1VarietyHallmarkXTWaterTrtRainFed</v>
      </c>
      <c r="B960">
        <v>2023026</v>
      </c>
      <c r="C960" t="s">
        <v>88</v>
      </c>
      <c r="D960">
        <v>4</v>
      </c>
      <c r="E960" t="s">
        <v>32</v>
      </c>
      <c r="F960" t="s">
        <v>131</v>
      </c>
      <c r="G960" t="s">
        <v>30</v>
      </c>
      <c r="I960">
        <v>1</v>
      </c>
      <c r="J960" t="s">
        <v>87</v>
      </c>
      <c r="K960" s="1">
        <v>45183</v>
      </c>
      <c r="L960">
        <v>199.165003384074</v>
      </c>
      <c r="M960">
        <v>24.267890424855601</v>
      </c>
    </row>
    <row r="961" spans="1:13" x14ac:dyDescent="0.25">
      <c r="A961" t="str">
        <f t="shared" si="14"/>
        <v>2023_Vic_Dooen_Lentil_DetailedTOSTOS2VarietyHallmarkXTWaterTrtRainFed</v>
      </c>
      <c r="B961">
        <v>2023026</v>
      </c>
      <c r="C961" t="s">
        <v>88</v>
      </c>
      <c r="D961">
        <v>4</v>
      </c>
      <c r="E961" t="s">
        <v>32</v>
      </c>
      <c r="F961" t="s">
        <v>131</v>
      </c>
      <c r="G961" t="s">
        <v>30</v>
      </c>
      <c r="I961">
        <v>2</v>
      </c>
      <c r="J961" t="s">
        <v>81</v>
      </c>
      <c r="K961" s="1">
        <v>45209</v>
      </c>
      <c r="L961">
        <v>258.45750313351198</v>
      </c>
      <c r="M961">
        <v>24.267891162945201</v>
      </c>
    </row>
    <row r="962" spans="1:13" x14ac:dyDescent="0.25">
      <c r="A962" t="str">
        <f t="shared" si="14"/>
        <v>2023_Vic_Dooen_Lentil_DetailedTOSTOS1VarietyJumbo2WaterTrtIrrigated</v>
      </c>
      <c r="B962">
        <v>2023026</v>
      </c>
      <c r="C962" t="s">
        <v>88</v>
      </c>
      <c r="D962">
        <v>4</v>
      </c>
      <c r="E962" t="s">
        <v>32</v>
      </c>
      <c r="F962" t="s">
        <v>132</v>
      </c>
      <c r="G962" t="s">
        <v>27</v>
      </c>
      <c r="I962">
        <v>1</v>
      </c>
      <c r="J962" t="s">
        <v>87</v>
      </c>
      <c r="K962" s="1">
        <v>45187</v>
      </c>
      <c r="L962">
        <v>286.93499661592199</v>
      </c>
      <c r="M962">
        <v>24.2678904248557</v>
      </c>
    </row>
    <row r="963" spans="1:13" x14ac:dyDescent="0.25">
      <c r="A963" t="str">
        <f t="shared" ref="A963:A1026" si="15">C963&amp;"TOSTOS"&amp;I963&amp;"Variety"&amp;F963&amp;"WaterTrt"&amp;G963&amp;IF(H963="","","Agronomy"&amp;H963)</f>
        <v>2023_Vic_Dooen_Lentil_DetailedTOSTOS2VarietyJumbo2WaterTrtIrrigated</v>
      </c>
      <c r="B963">
        <v>2023026</v>
      </c>
      <c r="C963" t="s">
        <v>88</v>
      </c>
      <c r="D963">
        <v>4</v>
      </c>
      <c r="E963" t="s">
        <v>32</v>
      </c>
      <c r="F963" t="s">
        <v>132</v>
      </c>
      <c r="G963" t="s">
        <v>27</v>
      </c>
      <c r="I963">
        <v>2</v>
      </c>
      <c r="J963" t="s">
        <v>81</v>
      </c>
      <c r="K963" s="1">
        <v>45209</v>
      </c>
      <c r="L963">
        <v>232.690003384074</v>
      </c>
      <c r="M963">
        <v>24.267890424855601</v>
      </c>
    </row>
    <row r="964" spans="1:13" x14ac:dyDescent="0.25">
      <c r="A964" t="str">
        <f t="shared" si="15"/>
        <v>2023_Vic_Dooen_Lentil_DetailedTOSTOS1VarietyJumbo2WaterTrtRainFed</v>
      </c>
      <c r="B964">
        <v>2023026</v>
      </c>
      <c r="C964" t="s">
        <v>88</v>
      </c>
      <c r="D964">
        <v>4</v>
      </c>
      <c r="E964" t="s">
        <v>32</v>
      </c>
      <c r="F964" t="s">
        <v>132</v>
      </c>
      <c r="G964" t="s">
        <v>30</v>
      </c>
      <c r="I964">
        <v>1</v>
      </c>
      <c r="J964" t="s">
        <v>87</v>
      </c>
      <c r="K964" s="1">
        <v>45187</v>
      </c>
      <c r="L964">
        <v>295.15750313351202</v>
      </c>
      <c r="M964">
        <v>24.267891162945201</v>
      </c>
    </row>
    <row r="965" spans="1:13" x14ac:dyDescent="0.25">
      <c r="A965" t="str">
        <f t="shared" si="15"/>
        <v>2023_Vic_Dooen_Lentil_DetailedTOSTOS2VarietyJumbo2WaterTrtRainFed</v>
      </c>
      <c r="B965">
        <v>2023026</v>
      </c>
      <c r="C965" t="s">
        <v>88</v>
      </c>
      <c r="D965">
        <v>4</v>
      </c>
      <c r="E965" t="s">
        <v>32</v>
      </c>
      <c r="F965" t="s">
        <v>132</v>
      </c>
      <c r="G965" t="s">
        <v>30</v>
      </c>
      <c r="I965">
        <v>2</v>
      </c>
      <c r="J965" t="s">
        <v>81</v>
      </c>
      <c r="K965" s="1">
        <v>45209</v>
      </c>
      <c r="L965">
        <v>231.29749686649001</v>
      </c>
      <c r="M965">
        <v>24.267891162945201</v>
      </c>
    </row>
    <row r="966" spans="1:13" x14ac:dyDescent="0.25">
      <c r="A966" t="str">
        <f t="shared" si="15"/>
        <v>2023_Vic_Dooen_Lentil_DetailedTOSTOS1VarietyKelpieXTWaterTrtIrrigated</v>
      </c>
      <c r="B966">
        <v>2023026</v>
      </c>
      <c r="C966" t="s">
        <v>88</v>
      </c>
      <c r="D966">
        <v>4</v>
      </c>
      <c r="E966" t="s">
        <v>32</v>
      </c>
      <c r="F966" t="s">
        <v>133</v>
      </c>
      <c r="G966" t="s">
        <v>27</v>
      </c>
      <c r="I966">
        <v>1</v>
      </c>
      <c r="J966" t="s">
        <v>87</v>
      </c>
      <c r="K966" s="1">
        <v>45183</v>
      </c>
      <c r="L966">
        <v>242.51750338407101</v>
      </c>
      <c r="M966">
        <v>24.2678904248557</v>
      </c>
    </row>
    <row r="967" spans="1:13" x14ac:dyDescent="0.25">
      <c r="A967" t="str">
        <f t="shared" si="15"/>
        <v>2023_Vic_Dooen_Lentil_DetailedTOSTOS2VarietyKelpieXTWaterTrtIrrigated</v>
      </c>
      <c r="B967">
        <v>2023026</v>
      </c>
      <c r="C967" t="s">
        <v>88</v>
      </c>
      <c r="D967">
        <v>4</v>
      </c>
      <c r="E967" t="s">
        <v>32</v>
      </c>
      <c r="F967" t="s">
        <v>133</v>
      </c>
      <c r="G967" t="s">
        <v>27</v>
      </c>
      <c r="I967">
        <v>2</v>
      </c>
      <c r="J967" t="s">
        <v>81</v>
      </c>
      <c r="K967" s="1">
        <v>45209</v>
      </c>
      <c r="L967">
        <v>194.07</v>
      </c>
      <c r="M967">
        <v>24.267889686766299</v>
      </c>
    </row>
    <row r="968" spans="1:13" x14ac:dyDescent="0.25">
      <c r="A968" t="str">
        <f t="shared" si="15"/>
        <v>2023_Vic_Dooen_Lentil_DetailedTOSTOS1VarietyKelpieXTWaterTrtRainFed</v>
      </c>
      <c r="B968">
        <v>2023026</v>
      </c>
      <c r="C968" t="s">
        <v>88</v>
      </c>
      <c r="D968">
        <v>4</v>
      </c>
      <c r="E968" t="s">
        <v>32</v>
      </c>
      <c r="F968" t="s">
        <v>133</v>
      </c>
      <c r="G968" t="s">
        <v>30</v>
      </c>
      <c r="I968">
        <v>1</v>
      </c>
      <c r="J968" t="s">
        <v>87</v>
      </c>
      <c r="K968" s="1">
        <v>45183</v>
      </c>
      <c r="L968">
        <v>257.18749661592602</v>
      </c>
      <c r="M968">
        <v>24.267890424855601</v>
      </c>
    </row>
    <row r="969" spans="1:13" x14ac:dyDescent="0.25">
      <c r="A969" t="str">
        <f t="shared" si="15"/>
        <v>2023_Vic_Dooen_Lentil_DetailedTOSTOS2VarietyKelpieXTWaterTrtRainFed</v>
      </c>
      <c r="B969">
        <v>2023026</v>
      </c>
      <c r="C969" t="s">
        <v>88</v>
      </c>
      <c r="D969">
        <v>4</v>
      </c>
      <c r="E969" t="s">
        <v>32</v>
      </c>
      <c r="F969" t="s">
        <v>133</v>
      </c>
      <c r="G969" t="s">
        <v>30</v>
      </c>
      <c r="I969">
        <v>2</v>
      </c>
      <c r="J969" t="s">
        <v>81</v>
      </c>
      <c r="K969" s="1">
        <v>45209</v>
      </c>
      <c r="L969">
        <v>224.992500000001</v>
      </c>
      <c r="M969">
        <v>24.267889686766299</v>
      </c>
    </row>
    <row r="970" spans="1:13" x14ac:dyDescent="0.25">
      <c r="A970" t="str">
        <f t="shared" si="15"/>
        <v>2023_Vic_Dooen_Lentil_DetailedTOSTOS1VarietyBoltWaterTrtIrrigated</v>
      </c>
      <c r="B970">
        <v>2023026</v>
      </c>
      <c r="C970" t="s">
        <v>88</v>
      </c>
      <c r="D970">
        <v>5</v>
      </c>
      <c r="E970" t="s">
        <v>33</v>
      </c>
      <c r="F970" t="s">
        <v>130</v>
      </c>
      <c r="G970" t="s">
        <v>27</v>
      </c>
      <c r="I970">
        <v>1</v>
      </c>
      <c r="J970" t="s">
        <v>87</v>
      </c>
      <c r="K970" s="1">
        <v>45215</v>
      </c>
      <c r="L970">
        <v>618.52499999999702</v>
      </c>
      <c r="M970">
        <v>42.764682456500204</v>
      </c>
    </row>
    <row r="971" spans="1:13" x14ac:dyDescent="0.25">
      <c r="A971" t="str">
        <f t="shared" si="15"/>
        <v>2023_Vic_Dooen_Lentil_DetailedTOSTOS2VarietyBoltWaterTrtIrrigated</v>
      </c>
      <c r="B971">
        <v>2023026</v>
      </c>
      <c r="C971" t="s">
        <v>88</v>
      </c>
      <c r="D971">
        <v>5</v>
      </c>
      <c r="E971" t="s">
        <v>33</v>
      </c>
      <c r="F971" t="s">
        <v>130</v>
      </c>
      <c r="G971" t="s">
        <v>27</v>
      </c>
      <c r="I971">
        <v>2</v>
      </c>
      <c r="J971" t="s">
        <v>81</v>
      </c>
      <c r="K971" s="1">
        <v>45230</v>
      </c>
      <c r="L971">
        <v>718.15128924780595</v>
      </c>
      <c r="M971">
        <v>43.678485339740199</v>
      </c>
    </row>
    <row r="972" spans="1:13" x14ac:dyDescent="0.25">
      <c r="A972" t="str">
        <f t="shared" si="15"/>
        <v>2023_Vic_Dooen_Lentil_DetailedTOSTOS1VarietyBoltWaterTrtRainFed</v>
      </c>
      <c r="B972">
        <v>2023026</v>
      </c>
      <c r="C972" t="s">
        <v>88</v>
      </c>
      <c r="D972">
        <v>5</v>
      </c>
      <c r="E972" t="s">
        <v>33</v>
      </c>
      <c r="F972" t="s">
        <v>130</v>
      </c>
      <c r="G972" t="s">
        <v>30</v>
      </c>
      <c r="I972">
        <v>1</v>
      </c>
      <c r="J972" t="s">
        <v>87</v>
      </c>
      <c r="K972" s="1">
        <v>45215</v>
      </c>
      <c r="L972">
        <v>670.89871075218502</v>
      </c>
      <c r="M972">
        <v>43.678485339739801</v>
      </c>
    </row>
    <row r="973" spans="1:13" x14ac:dyDescent="0.25">
      <c r="A973" t="str">
        <f t="shared" si="15"/>
        <v>2023_Vic_Dooen_Lentil_DetailedTOSTOS2VarietyBoltWaterTrtRainFed</v>
      </c>
      <c r="B973">
        <v>2023026</v>
      </c>
      <c r="C973" t="s">
        <v>88</v>
      </c>
      <c r="D973">
        <v>5</v>
      </c>
      <c r="E973" t="s">
        <v>33</v>
      </c>
      <c r="F973" t="s">
        <v>130</v>
      </c>
      <c r="G973" t="s">
        <v>30</v>
      </c>
      <c r="I973">
        <v>2</v>
      </c>
      <c r="J973" t="s">
        <v>81</v>
      </c>
      <c r="K973" s="1">
        <v>45230</v>
      </c>
      <c r="L973">
        <v>571.78500000000099</v>
      </c>
      <c r="M973">
        <v>42.764682456499699</v>
      </c>
    </row>
    <row r="974" spans="1:13" x14ac:dyDescent="0.25">
      <c r="A974" t="str">
        <f t="shared" si="15"/>
        <v>2023_Vic_Dooen_Lentil_DetailedTOSTOS1VarietyHallmarkXTWaterTrtIrrigated</v>
      </c>
      <c r="B974">
        <v>2023026</v>
      </c>
      <c r="C974" t="s">
        <v>88</v>
      </c>
      <c r="D974">
        <v>5</v>
      </c>
      <c r="E974" t="s">
        <v>33</v>
      </c>
      <c r="F974" t="s">
        <v>131</v>
      </c>
      <c r="G974" t="s">
        <v>27</v>
      </c>
      <c r="I974">
        <v>1</v>
      </c>
      <c r="J974" t="s">
        <v>87</v>
      </c>
      <c r="K974" s="1">
        <v>45215</v>
      </c>
      <c r="L974">
        <v>560.02499999999702</v>
      </c>
      <c r="M974">
        <v>42.764682456499401</v>
      </c>
    </row>
    <row r="975" spans="1:13" x14ac:dyDescent="0.25">
      <c r="A975" t="str">
        <f t="shared" si="15"/>
        <v>2023_Vic_Dooen_Lentil_DetailedTOSTOS2VarietyHallmarkXTWaterTrtIrrigated</v>
      </c>
      <c r="B975">
        <v>2023026</v>
      </c>
      <c r="C975" t="s">
        <v>88</v>
      </c>
      <c r="D975">
        <v>5</v>
      </c>
      <c r="E975" t="s">
        <v>33</v>
      </c>
      <c r="F975" t="s">
        <v>131</v>
      </c>
      <c r="G975" t="s">
        <v>27</v>
      </c>
      <c r="I975">
        <v>2</v>
      </c>
      <c r="J975" t="s">
        <v>81</v>
      </c>
      <c r="K975" s="1">
        <v>45230</v>
      </c>
      <c r="L975">
        <v>669.13466792789495</v>
      </c>
      <c r="M975">
        <v>43.1287735261092</v>
      </c>
    </row>
    <row r="976" spans="1:13" x14ac:dyDescent="0.25">
      <c r="A976" t="str">
        <f t="shared" si="15"/>
        <v>2023_Vic_Dooen_Lentil_DetailedTOSTOS1VarietyHallmarkXTWaterTrtRainFed</v>
      </c>
      <c r="B976">
        <v>2023026</v>
      </c>
      <c r="C976" t="s">
        <v>88</v>
      </c>
      <c r="D976">
        <v>5</v>
      </c>
      <c r="E976" t="s">
        <v>33</v>
      </c>
      <c r="F976" t="s">
        <v>131</v>
      </c>
      <c r="G976" t="s">
        <v>30</v>
      </c>
      <c r="I976">
        <v>1</v>
      </c>
      <c r="J976" t="s">
        <v>87</v>
      </c>
      <c r="K976" s="1">
        <v>45215</v>
      </c>
      <c r="L976">
        <v>568.06654282430202</v>
      </c>
      <c r="M976">
        <v>43.1835497823607</v>
      </c>
    </row>
    <row r="977" spans="1:25" x14ac:dyDescent="0.25">
      <c r="A977" t="str">
        <f t="shared" si="15"/>
        <v>2023_Vic_Dooen_Lentil_DetailedTOSTOS2VarietyHallmarkXTWaterTrtRainFed</v>
      </c>
      <c r="B977">
        <v>2023026</v>
      </c>
      <c r="C977" t="s">
        <v>88</v>
      </c>
      <c r="D977">
        <v>5</v>
      </c>
      <c r="E977" t="s">
        <v>33</v>
      </c>
      <c r="F977" t="s">
        <v>131</v>
      </c>
      <c r="G977" t="s">
        <v>30</v>
      </c>
      <c r="I977">
        <v>2</v>
      </c>
      <c r="J977" t="s">
        <v>81</v>
      </c>
      <c r="K977" s="1">
        <v>45230</v>
      </c>
      <c r="L977">
        <v>654.91128924780901</v>
      </c>
      <c r="M977">
        <v>43.67848533974</v>
      </c>
    </row>
    <row r="978" spans="1:25" x14ac:dyDescent="0.25">
      <c r="A978" t="str">
        <f t="shared" si="15"/>
        <v>2023_Vic_Dooen_Lentil_DetailedTOSTOS1VarietyJumbo2WaterTrtIrrigated</v>
      </c>
      <c r="B978">
        <v>2023026</v>
      </c>
      <c r="C978" t="s">
        <v>88</v>
      </c>
      <c r="D978">
        <v>5</v>
      </c>
      <c r="E978" t="s">
        <v>33</v>
      </c>
      <c r="F978" t="s">
        <v>132</v>
      </c>
      <c r="G978" t="s">
        <v>27</v>
      </c>
      <c r="I978">
        <v>1</v>
      </c>
      <c r="J978" t="s">
        <v>87</v>
      </c>
      <c r="K978" s="1">
        <v>45215</v>
      </c>
      <c r="L978">
        <v>627.22095717569402</v>
      </c>
      <c r="M978">
        <v>43.1835497823606</v>
      </c>
    </row>
    <row r="979" spans="1:25" x14ac:dyDescent="0.25">
      <c r="A979" t="str">
        <f t="shared" si="15"/>
        <v>2023_Vic_Dooen_Lentil_DetailedTOSTOS2VarietyJumbo2WaterTrtIrrigated</v>
      </c>
      <c r="B979">
        <v>2023026</v>
      </c>
      <c r="C979" t="s">
        <v>88</v>
      </c>
      <c r="D979">
        <v>5</v>
      </c>
      <c r="E979" t="s">
        <v>33</v>
      </c>
      <c r="F979" t="s">
        <v>132</v>
      </c>
      <c r="G979" t="s">
        <v>27</v>
      </c>
      <c r="I979">
        <v>2</v>
      </c>
      <c r="J979" t="s">
        <v>81</v>
      </c>
      <c r="K979" s="1">
        <v>45230</v>
      </c>
      <c r="L979">
        <v>609.08404282430399</v>
      </c>
      <c r="M979">
        <v>43.183549782360799</v>
      </c>
    </row>
    <row r="980" spans="1:25" x14ac:dyDescent="0.25">
      <c r="A980" t="str">
        <f t="shared" si="15"/>
        <v>2023_Vic_Dooen_Lentil_DetailedTOSTOS1VarietyJumbo2WaterTrtRainFed</v>
      </c>
      <c r="B980">
        <v>2023026</v>
      </c>
      <c r="C980" t="s">
        <v>88</v>
      </c>
      <c r="D980">
        <v>5</v>
      </c>
      <c r="E980" t="s">
        <v>33</v>
      </c>
      <c r="F980" t="s">
        <v>132</v>
      </c>
      <c r="G980" t="s">
        <v>30</v>
      </c>
      <c r="I980">
        <v>1</v>
      </c>
      <c r="J980" t="s">
        <v>87</v>
      </c>
      <c r="K980" s="1">
        <v>45215</v>
      </c>
      <c r="L980">
        <v>586.24628924780802</v>
      </c>
      <c r="M980">
        <v>43.6784853397399</v>
      </c>
    </row>
    <row r="981" spans="1:25" x14ac:dyDescent="0.25">
      <c r="A981" t="str">
        <f t="shared" si="15"/>
        <v>2023_Vic_Dooen_Lentil_DetailedTOSTOS2VarietyJumbo2WaterTrtRainFed</v>
      </c>
      <c r="B981">
        <v>2023026</v>
      </c>
      <c r="C981" t="s">
        <v>88</v>
      </c>
      <c r="D981">
        <v>5</v>
      </c>
      <c r="E981" t="s">
        <v>33</v>
      </c>
      <c r="F981" t="s">
        <v>132</v>
      </c>
      <c r="G981" t="s">
        <v>30</v>
      </c>
      <c r="I981">
        <v>2</v>
      </c>
      <c r="J981" t="s">
        <v>81</v>
      </c>
      <c r="K981" s="1">
        <v>45230</v>
      </c>
      <c r="L981">
        <v>619.46621075219605</v>
      </c>
      <c r="M981">
        <v>43.67848533974</v>
      </c>
    </row>
    <row r="982" spans="1:25" x14ac:dyDescent="0.25">
      <c r="A982" t="str">
        <f t="shared" si="15"/>
        <v>2023_Vic_Dooen_Lentil_DetailedTOSTOS1VarietyKelpieXTWaterTrtIrrigated</v>
      </c>
      <c r="B982">
        <v>2023026</v>
      </c>
      <c r="C982" t="s">
        <v>88</v>
      </c>
      <c r="D982">
        <v>5</v>
      </c>
      <c r="E982" t="s">
        <v>33</v>
      </c>
      <c r="F982" t="s">
        <v>133</v>
      </c>
      <c r="G982" t="s">
        <v>27</v>
      </c>
      <c r="I982">
        <v>1</v>
      </c>
      <c r="J982" t="s">
        <v>87</v>
      </c>
      <c r="K982" s="1">
        <v>45215</v>
      </c>
      <c r="L982">
        <v>703.46154282429495</v>
      </c>
      <c r="M982">
        <v>43.1835497823606</v>
      </c>
    </row>
    <row r="983" spans="1:25" x14ac:dyDescent="0.25">
      <c r="A983" t="str">
        <f t="shared" si="15"/>
        <v>2023_Vic_Dooen_Lentil_DetailedTOSTOS2VarietyKelpieXTWaterTrtIrrigated</v>
      </c>
      <c r="B983">
        <v>2023026</v>
      </c>
      <c r="C983" t="s">
        <v>88</v>
      </c>
      <c r="D983">
        <v>5</v>
      </c>
      <c r="E983" t="s">
        <v>33</v>
      </c>
      <c r="F983" t="s">
        <v>133</v>
      </c>
      <c r="G983" t="s">
        <v>27</v>
      </c>
      <c r="I983">
        <v>2</v>
      </c>
      <c r="J983" t="s">
        <v>81</v>
      </c>
      <c r="K983" s="1">
        <v>45230</v>
      </c>
      <c r="L983">
        <v>571.99250000000302</v>
      </c>
      <c r="M983">
        <v>42.7646824564996</v>
      </c>
    </row>
    <row r="984" spans="1:25" x14ac:dyDescent="0.25">
      <c r="A984" t="str">
        <f t="shared" si="15"/>
        <v>2023_Vic_Dooen_Lentil_DetailedTOSTOS1VarietyKelpieXTWaterTrtRainFed</v>
      </c>
      <c r="B984">
        <v>2023026</v>
      </c>
      <c r="C984" t="s">
        <v>88</v>
      </c>
      <c r="D984">
        <v>5</v>
      </c>
      <c r="E984" t="s">
        <v>33</v>
      </c>
      <c r="F984" t="s">
        <v>133</v>
      </c>
      <c r="G984" t="s">
        <v>30</v>
      </c>
      <c r="I984">
        <v>1</v>
      </c>
      <c r="J984" t="s">
        <v>87</v>
      </c>
      <c r="K984" s="1">
        <v>45215</v>
      </c>
      <c r="L984">
        <v>569.70095717570098</v>
      </c>
      <c r="M984">
        <v>43.1835497823607</v>
      </c>
    </row>
    <row r="985" spans="1:25" x14ac:dyDescent="0.25">
      <c r="A985" t="str">
        <f t="shared" si="15"/>
        <v>2023_Vic_Dooen_Lentil_DetailedTOSTOS2VarietyKelpieXTWaterTrtRainFed</v>
      </c>
      <c r="B985">
        <v>2023026</v>
      </c>
      <c r="C985" t="s">
        <v>88</v>
      </c>
      <c r="D985">
        <v>5</v>
      </c>
      <c r="E985" t="s">
        <v>33</v>
      </c>
      <c r="F985" t="s">
        <v>133</v>
      </c>
      <c r="G985" t="s">
        <v>30</v>
      </c>
      <c r="I985">
        <v>2</v>
      </c>
      <c r="J985" t="s">
        <v>81</v>
      </c>
      <c r="K985" s="1">
        <v>45230</v>
      </c>
      <c r="L985">
        <v>583.55250000000206</v>
      </c>
      <c r="M985">
        <v>42.7646824564996</v>
      </c>
    </row>
    <row r="986" spans="1:25" x14ac:dyDescent="0.25">
      <c r="A986" t="str">
        <f t="shared" si="15"/>
        <v>2023_Vic_Dooen_Lentil_DetailedTOSTOS1VarietyBoltWaterTrtIrrigated</v>
      </c>
      <c r="B986">
        <v>2023026</v>
      </c>
      <c r="C986" t="s">
        <v>88</v>
      </c>
      <c r="D986">
        <v>6</v>
      </c>
      <c r="E986" t="s">
        <v>34</v>
      </c>
      <c r="F986" t="s">
        <v>130</v>
      </c>
      <c r="G986" t="s">
        <v>27</v>
      </c>
      <c r="I986">
        <v>1</v>
      </c>
      <c r="J986" t="s">
        <v>87</v>
      </c>
      <c r="K986" s="1">
        <v>45251</v>
      </c>
      <c r="L986">
        <v>954.85499999996398</v>
      </c>
      <c r="M986">
        <v>55.705000519387497</v>
      </c>
      <c r="N986">
        <v>0.42499999999999999</v>
      </c>
      <c r="O986">
        <v>0.01</v>
      </c>
      <c r="P986">
        <v>9225</v>
      </c>
      <c r="Q986">
        <v>760</v>
      </c>
      <c r="T986">
        <v>9481</v>
      </c>
      <c r="U986">
        <v>770</v>
      </c>
      <c r="V986">
        <v>45.625000000000099</v>
      </c>
      <c r="W986">
        <v>2.5427590411038001</v>
      </c>
      <c r="X986">
        <v>406</v>
      </c>
      <c r="Y986">
        <v>29</v>
      </c>
    </row>
    <row r="987" spans="1:25" x14ac:dyDescent="0.25">
      <c r="A987" t="str">
        <f t="shared" si="15"/>
        <v>2023_Vic_Dooen_Lentil_DetailedTOSTOS2VarietyBoltWaterTrtIrrigated</v>
      </c>
      <c r="B987">
        <v>2023026</v>
      </c>
      <c r="C987" t="s">
        <v>88</v>
      </c>
      <c r="D987">
        <v>6</v>
      </c>
      <c r="E987" t="s">
        <v>34</v>
      </c>
      <c r="F987" t="s">
        <v>130</v>
      </c>
      <c r="G987" t="s">
        <v>27</v>
      </c>
      <c r="I987">
        <v>2</v>
      </c>
      <c r="J987" t="s">
        <v>81</v>
      </c>
      <c r="K987" s="1">
        <v>45252</v>
      </c>
      <c r="L987">
        <v>714.56355231025702</v>
      </c>
      <c r="M987">
        <v>56.9350083318202</v>
      </c>
      <c r="N987">
        <v>0.52900000000000003</v>
      </c>
      <c r="O987">
        <v>0.01</v>
      </c>
      <c r="P987">
        <v>8124</v>
      </c>
      <c r="Q987">
        <v>510</v>
      </c>
      <c r="T987">
        <v>8116</v>
      </c>
      <c r="U987">
        <v>790</v>
      </c>
      <c r="V987">
        <v>46.534999999999997</v>
      </c>
      <c r="W987">
        <v>2.5427590411038201</v>
      </c>
      <c r="X987">
        <v>380</v>
      </c>
      <c r="Y987">
        <v>29</v>
      </c>
    </row>
    <row r="988" spans="1:25" x14ac:dyDescent="0.25">
      <c r="A988" t="str">
        <f t="shared" si="15"/>
        <v>2023_Vic_Dooen_Lentil_DetailedTOSTOS1VarietyBoltWaterTrtRainFed</v>
      </c>
      <c r="B988">
        <v>2023026</v>
      </c>
      <c r="C988" t="s">
        <v>88</v>
      </c>
      <c r="D988">
        <v>6</v>
      </c>
      <c r="E988" t="s">
        <v>34</v>
      </c>
      <c r="F988" t="s">
        <v>130</v>
      </c>
      <c r="G988" t="s">
        <v>30</v>
      </c>
      <c r="I988">
        <v>1</v>
      </c>
      <c r="J988" t="s">
        <v>87</v>
      </c>
      <c r="K988" s="1">
        <v>45251</v>
      </c>
      <c r="L988">
        <v>721.04894768972804</v>
      </c>
      <c r="M988">
        <v>56.935008331819901</v>
      </c>
      <c r="N988">
        <v>0.434</v>
      </c>
      <c r="O988">
        <v>0.01</v>
      </c>
      <c r="P988">
        <v>8418</v>
      </c>
      <c r="Q988">
        <v>760</v>
      </c>
      <c r="T988">
        <v>6925</v>
      </c>
      <c r="U988">
        <v>570</v>
      </c>
      <c r="V988">
        <v>46.949999999999903</v>
      </c>
      <c r="W988">
        <v>2.5427590411038099</v>
      </c>
      <c r="X988">
        <v>312</v>
      </c>
      <c r="Y988">
        <v>29</v>
      </c>
    </row>
    <row r="989" spans="1:25" x14ac:dyDescent="0.25">
      <c r="A989" t="str">
        <f t="shared" si="15"/>
        <v>2023_Vic_Dooen_Lentil_DetailedTOSTOS2VarietyBoltWaterTrtRainFed</v>
      </c>
      <c r="B989">
        <v>2023026</v>
      </c>
      <c r="C989" t="s">
        <v>88</v>
      </c>
      <c r="D989">
        <v>6</v>
      </c>
      <c r="E989" t="s">
        <v>34</v>
      </c>
      <c r="F989" t="s">
        <v>130</v>
      </c>
      <c r="G989" t="s">
        <v>30</v>
      </c>
      <c r="I989">
        <v>2</v>
      </c>
      <c r="J989" t="s">
        <v>81</v>
      </c>
      <c r="K989" s="1">
        <v>45252</v>
      </c>
      <c r="L989">
        <v>558.67249999999501</v>
      </c>
      <c r="M989">
        <v>55.705000519387902</v>
      </c>
      <c r="N989">
        <v>0.54200000000000004</v>
      </c>
      <c r="O989">
        <v>0.01</v>
      </c>
      <c r="P989">
        <v>7400</v>
      </c>
      <c r="Q989">
        <v>510</v>
      </c>
      <c r="T989">
        <v>6364</v>
      </c>
      <c r="U989">
        <v>550</v>
      </c>
      <c r="V989">
        <v>48.222499999999997</v>
      </c>
      <c r="W989">
        <v>2.5427590411038099</v>
      </c>
      <c r="X989">
        <v>303</v>
      </c>
      <c r="Y989">
        <v>29</v>
      </c>
    </row>
    <row r="990" spans="1:25" x14ac:dyDescent="0.25">
      <c r="A990" t="str">
        <f t="shared" si="15"/>
        <v>2023_Vic_Dooen_Lentil_DetailedTOSTOS1VarietyHallmarkXTWaterTrtIrrigated</v>
      </c>
      <c r="B990">
        <v>2023026</v>
      </c>
      <c r="C990" t="s">
        <v>88</v>
      </c>
      <c r="D990">
        <v>6</v>
      </c>
      <c r="E990" t="s">
        <v>34</v>
      </c>
      <c r="F990" t="s">
        <v>131</v>
      </c>
      <c r="G990" t="s">
        <v>27</v>
      </c>
      <c r="I990">
        <v>1</v>
      </c>
      <c r="J990" t="s">
        <v>87</v>
      </c>
      <c r="K990" s="1">
        <v>45252</v>
      </c>
      <c r="L990">
        <v>853.38749999998402</v>
      </c>
      <c r="M990">
        <v>55.705000519387497</v>
      </c>
      <c r="N990">
        <v>0.43099999999999999</v>
      </c>
      <c r="O990">
        <v>1.2E-2</v>
      </c>
      <c r="P990">
        <v>10636</v>
      </c>
      <c r="Q990">
        <v>870</v>
      </c>
      <c r="T990">
        <v>9721</v>
      </c>
      <c r="U990">
        <v>770</v>
      </c>
      <c r="V990">
        <v>43.73</v>
      </c>
      <c r="W990">
        <v>2.5427590411038099</v>
      </c>
      <c r="X990">
        <v>329</v>
      </c>
      <c r="Y990">
        <v>29</v>
      </c>
    </row>
    <row r="991" spans="1:25" x14ac:dyDescent="0.25">
      <c r="A991" t="str">
        <f t="shared" si="15"/>
        <v>2023_Vic_Dooen_Lentil_DetailedTOSTOS2VarietyHallmarkXTWaterTrtIrrigated</v>
      </c>
      <c r="B991">
        <v>2023026</v>
      </c>
      <c r="C991" t="s">
        <v>88</v>
      </c>
      <c r="D991">
        <v>6</v>
      </c>
      <c r="E991" t="s">
        <v>34</v>
      </c>
      <c r="F991" t="s">
        <v>131</v>
      </c>
      <c r="G991" t="s">
        <v>27</v>
      </c>
      <c r="I991">
        <v>2</v>
      </c>
      <c r="J991" t="s">
        <v>81</v>
      </c>
      <c r="K991" s="1">
        <v>45252</v>
      </c>
      <c r="L991">
        <v>653.407703885003</v>
      </c>
      <c r="M991">
        <v>56.213333860789398</v>
      </c>
      <c r="N991">
        <v>0.55500000000000005</v>
      </c>
      <c r="O991">
        <v>0.01</v>
      </c>
      <c r="P991">
        <v>8016</v>
      </c>
      <c r="Q991">
        <v>510</v>
      </c>
      <c r="T991">
        <v>9440</v>
      </c>
      <c r="U991">
        <v>780</v>
      </c>
      <c r="V991">
        <v>40.919999999999902</v>
      </c>
      <c r="W991">
        <v>2.5427590411038099</v>
      </c>
      <c r="X991">
        <v>361</v>
      </c>
      <c r="Y991">
        <v>29</v>
      </c>
    </row>
    <row r="992" spans="1:25" x14ac:dyDescent="0.25">
      <c r="A992" t="str">
        <f t="shared" si="15"/>
        <v>2023_Vic_Dooen_Lentil_DetailedTOSTOS1VarietyHallmarkXTWaterTrtRainFed</v>
      </c>
      <c r="B992">
        <v>2023026</v>
      </c>
      <c r="C992" t="s">
        <v>88</v>
      </c>
      <c r="D992">
        <v>6</v>
      </c>
      <c r="E992" t="s">
        <v>34</v>
      </c>
      <c r="F992" t="s">
        <v>131</v>
      </c>
      <c r="G992" t="s">
        <v>30</v>
      </c>
      <c r="I992">
        <v>1</v>
      </c>
      <c r="J992" t="s">
        <v>87</v>
      </c>
      <c r="K992" s="1">
        <v>45252</v>
      </c>
      <c r="L992">
        <v>730.73874380472205</v>
      </c>
      <c r="M992">
        <v>56.276622799747898</v>
      </c>
      <c r="N992">
        <v>0.41499999999999998</v>
      </c>
      <c r="O992">
        <v>0.01</v>
      </c>
      <c r="P992">
        <v>8553</v>
      </c>
      <c r="Q992">
        <v>760</v>
      </c>
      <c r="T992">
        <v>7916</v>
      </c>
      <c r="U992">
        <v>560</v>
      </c>
      <c r="V992">
        <v>42.322499999999899</v>
      </c>
      <c r="W992">
        <v>2.5427590411038099</v>
      </c>
      <c r="X992">
        <v>305</v>
      </c>
      <c r="Y992">
        <v>29</v>
      </c>
    </row>
    <row r="993" spans="1:25" x14ac:dyDescent="0.25">
      <c r="A993" t="str">
        <f t="shared" si="15"/>
        <v>2023_Vic_Dooen_Lentil_DetailedTOSTOS2VarietyHallmarkXTWaterTrtRainFed</v>
      </c>
      <c r="B993">
        <v>2023026</v>
      </c>
      <c r="C993" t="s">
        <v>88</v>
      </c>
      <c r="D993">
        <v>6</v>
      </c>
      <c r="E993" t="s">
        <v>34</v>
      </c>
      <c r="F993" t="s">
        <v>131</v>
      </c>
      <c r="G993" t="s">
        <v>30</v>
      </c>
      <c r="I993">
        <v>2</v>
      </c>
      <c r="J993" t="s">
        <v>81</v>
      </c>
      <c r="K993" s="1">
        <v>45252</v>
      </c>
      <c r="L993">
        <v>554.38105231025702</v>
      </c>
      <c r="M993">
        <v>56.9350083318201</v>
      </c>
      <c r="N993">
        <v>0.53600000000000003</v>
      </c>
      <c r="O993">
        <v>0.01</v>
      </c>
      <c r="P993">
        <v>7086</v>
      </c>
      <c r="Q993">
        <v>510</v>
      </c>
      <c r="T993">
        <v>7651</v>
      </c>
      <c r="U993">
        <v>570</v>
      </c>
      <c r="V993">
        <v>41.32</v>
      </c>
      <c r="W993">
        <v>2.5427590411038099</v>
      </c>
      <c r="X993">
        <v>299</v>
      </c>
      <c r="Y993">
        <v>29</v>
      </c>
    </row>
    <row r="994" spans="1:25" x14ac:dyDescent="0.25">
      <c r="A994" t="str">
        <f t="shared" si="15"/>
        <v>2023_Vic_Dooen_Lentil_DetailedTOSTOS1VarietyJumbo2WaterTrtIrrigated</v>
      </c>
      <c r="B994">
        <v>2023026</v>
      </c>
      <c r="C994" t="s">
        <v>88</v>
      </c>
      <c r="D994">
        <v>6</v>
      </c>
      <c r="E994" t="s">
        <v>34</v>
      </c>
      <c r="F994" t="s">
        <v>132</v>
      </c>
      <c r="G994" t="s">
        <v>27</v>
      </c>
      <c r="I994">
        <v>1</v>
      </c>
      <c r="J994" t="s">
        <v>87</v>
      </c>
      <c r="K994" s="1">
        <v>45251</v>
      </c>
      <c r="L994">
        <v>845.07875619524998</v>
      </c>
      <c r="M994">
        <v>56.276622799747699</v>
      </c>
      <c r="N994">
        <v>0.46100000000000002</v>
      </c>
      <c r="O994">
        <v>0.01</v>
      </c>
      <c r="P994">
        <v>6142</v>
      </c>
      <c r="Q994">
        <v>760</v>
      </c>
      <c r="T994">
        <v>7096</v>
      </c>
      <c r="U994">
        <v>780</v>
      </c>
      <c r="V994">
        <v>57.282499999999899</v>
      </c>
      <c r="W994">
        <v>2.5427590411038099</v>
      </c>
      <c r="X994">
        <v>390</v>
      </c>
      <c r="Y994">
        <v>29</v>
      </c>
    </row>
    <row r="995" spans="1:25" x14ac:dyDescent="0.25">
      <c r="A995" t="str">
        <f t="shared" si="15"/>
        <v>2023_Vic_Dooen_Lentil_DetailedTOSTOS2VarietyJumbo2WaterTrtIrrigated</v>
      </c>
      <c r="B995">
        <v>2023026</v>
      </c>
      <c r="C995" t="s">
        <v>88</v>
      </c>
      <c r="D995">
        <v>6</v>
      </c>
      <c r="E995" t="s">
        <v>34</v>
      </c>
      <c r="F995" t="s">
        <v>132</v>
      </c>
      <c r="G995" t="s">
        <v>27</v>
      </c>
      <c r="I995">
        <v>2</v>
      </c>
      <c r="J995" t="s">
        <v>81</v>
      </c>
      <c r="K995" s="1">
        <v>45252</v>
      </c>
      <c r="L995">
        <v>710.35624380472905</v>
      </c>
      <c r="M995">
        <v>56.276622799747997</v>
      </c>
      <c r="N995">
        <v>0.56799999999999995</v>
      </c>
      <c r="O995">
        <v>0.01</v>
      </c>
      <c r="P995">
        <v>7112</v>
      </c>
      <c r="Q995">
        <v>510</v>
      </c>
      <c r="T995">
        <v>7671</v>
      </c>
      <c r="U995">
        <v>780</v>
      </c>
      <c r="V995">
        <v>46.009999999999899</v>
      </c>
      <c r="W995">
        <v>2.5427590411038099</v>
      </c>
      <c r="X995">
        <v>405</v>
      </c>
      <c r="Y995">
        <v>29</v>
      </c>
    </row>
    <row r="996" spans="1:25" x14ac:dyDescent="0.25">
      <c r="A996" t="str">
        <f t="shared" si="15"/>
        <v>2023_Vic_Dooen_Lentil_DetailedTOSTOS1VarietyJumbo2WaterTrtRainFed</v>
      </c>
      <c r="B996">
        <v>2023026</v>
      </c>
      <c r="C996" t="s">
        <v>88</v>
      </c>
      <c r="D996">
        <v>6</v>
      </c>
      <c r="E996" t="s">
        <v>34</v>
      </c>
      <c r="F996" t="s">
        <v>132</v>
      </c>
      <c r="G996" t="s">
        <v>30</v>
      </c>
      <c r="I996">
        <v>1</v>
      </c>
      <c r="J996" t="s">
        <v>87</v>
      </c>
      <c r="K996" s="1">
        <v>45251</v>
      </c>
      <c r="L996">
        <v>748.24855231024901</v>
      </c>
      <c r="M996">
        <v>56.935008331820001</v>
      </c>
      <c r="N996">
        <v>0.42699999999999999</v>
      </c>
      <c r="O996">
        <v>0.01</v>
      </c>
      <c r="P996">
        <v>5306</v>
      </c>
      <c r="Q996">
        <v>760</v>
      </c>
      <c r="T996">
        <v>5986</v>
      </c>
      <c r="U996">
        <v>570</v>
      </c>
      <c r="V996">
        <v>57.947499999999899</v>
      </c>
      <c r="W996">
        <v>2.5427590411038099</v>
      </c>
      <c r="X996">
        <v>320</v>
      </c>
      <c r="Y996">
        <v>29</v>
      </c>
    </row>
    <row r="997" spans="1:25" x14ac:dyDescent="0.25">
      <c r="A997" t="str">
        <f t="shared" si="15"/>
        <v>2023_Vic_Dooen_Lentil_DetailedTOSTOS2VarietyJumbo2WaterTrtRainFed</v>
      </c>
      <c r="B997">
        <v>2023026</v>
      </c>
      <c r="C997" t="s">
        <v>88</v>
      </c>
      <c r="D997">
        <v>6</v>
      </c>
      <c r="E997" t="s">
        <v>34</v>
      </c>
      <c r="F997" t="s">
        <v>132</v>
      </c>
      <c r="G997" t="s">
        <v>30</v>
      </c>
      <c r="I997">
        <v>2</v>
      </c>
      <c r="J997" t="s">
        <v>81</v>
      </c>
      <c r="K997" s="1">
        <v>45252</v>
      </c>
      <c r="L997">
        <v>634.19394768973802</v>
      </c>
      <c r="M997">
        <v>56.935008331820001</v>
      </c>
      <c r="N997">
        <v>0.55200000000000005</v>
      </c>
      <c r="O997">
        <v>0.01</v>
      </c>
      <c r="P997">
        <v>6552</v>
      </c>
      <c r="Q997">
        <v>510</v>
      </c>
      <c r="T997">
        <v>6603</v>
      </c>
      <c r="U997">
        <v>570</v>
      </c>
      <c r="V997">
        <v>54.087499999999999</v>
      </c>
      <c r="W997">
        <v>2.5427590411038099</v>
      </c>
      <c r="X997">
        <v>347</v>
      </c>
      <c r="Y997">
        <v>29</v>
      </c>
    </row>
    <row r="998" spans="1:25" x14ac:dyDescent="0.25">
      <c r="A998" t="str">
        <f t="shared" si="15"/>
        <v>2023_Vic_Dooen_Lentil_DetailedTOSTOS1VarietyKelpieXTWaterTrtIrrigated</v>
      </c>
      <c r="B998">
        <v>2023026</v>
      </c>
      <c r="C998" t="s">
        <v>88</v>
      </c>
      <c r="D998">
        <v>6</v>
      </c>
      <c r="E998" t="s">
        <v>34</v>
      </c>
      <c r="F998" t="s">
        <v>133</v>
      </c>
      <c r="G998" t="s">
        <v>27</v>
      </c>
      <c r="I998">
        <v>1</v>
      </c>
      <c r="J998" t="s">
        <v>87</v>
      </c>
      <c r="K998" s="1">
        <v>45251</v>
      </c>
      <c r="L998">
        <v>748.55624380471602</v>
      </c>
      <c r="M998">
        <v>56.276622799747699</v>
      </c>
      <c r="N998">
        <v>0.48899999999999999</v>
      </c>
      <c r="O998">
        <v>0.01</v>
      </c>
      <c r="P998">
        <v>5470</v>
      </c>
      <c r="Q998">
        <v>760</v>
      </c>
      <c r="T998">
        <v>7609</v>
      </c>
      <c r="U998">
        <v>780</v>
      </c>
      <c r="V998">
        <v>53.794999999999902</v>
      </c>
      <c r="W998">
        <v>2.5427590411038099</v>
      </c>
      <c r="X998">
        <v>366</v>
      </c>
      <c r="Y998">
        <v>29</v>
      </c>
    </row>
    <row r="999" spans="1:25" x14ac:dyDescent="0.25">
      <c r="A999" t="str">
        <f t="shared" si="15"/>
        <v>2023_Vic_Dooen_Lentil_DetailedTOSTOS2VarietyKelpieXTWaterTrtIrrigated</v>
      </c>
      <c r="B999">
        <v>2023026</v>
      </c>
      <c r="C999" t="s">
        <v>88</v>
      </c>
      <c r="D999">
        <v>6</v>
      </c>
      <c r="E999" t="s">
        <v>34</v>
      </c>
      <c r="F999" t="s">
        <v>133</v>
      </c>
      <c r="G999" t="s">
        <v>27</v>
      </c>
      <c r="I999">
        <v>2</v>
      </c>
      <c r="J999" t="s">
        <v>81</v>
      </c>
      <c r="K999" s="1">
        <v>45252</v>
      </c>
      <c r="L999">
        <v>631.707499999996</v>
      </c>
      <c r="M999">
        <v>55.705000519387902</v>
      </c>
      <c r="N999">
        <v>0.58199999999999996</v>
      </c>
      <c r="O999">
        <v>0.01</v>
      </c>
      <c r="P999">
        <v>5629</v>
      </c>
      <c r="Q999">
        <v>510</v>
      </c>
      <c r="T999">
        <v>7670</v>
      </c>
      <c r="U999">
        <v>770</v>
      </c>
      <c r="V999">
        <v>50.5399999999999</v>
      </c>
      <c r="W999">
        <v>2.5427590411038099</v>
      </c>
      <c r="X999">
        <v>369</v>
      </c>
      <c r="Y999">
        <v>29</v>
      </c>
    </row>
    <row r="1000" spans="1:25" x14ac:dyDescent="0.25">
      <c r="A1000" t="str">
        <f t="shared" si="15"/>
        <v>2023_Vic_Dooen_Lentil_DetailedTOSTOS1VarietyKelpieXTWaterTrtRainFed</v>
      </c>
      <c r="B1000">
        <v>2023026</v>
      </c>
      <c r="C1000" t="s">
        <v>88</v>
      </c>
      <c r="D1000">
        <v>6</v>
      </c>
      <c r="E1000" t="s">
        <v>34</v>
      </c>
      <c r="F1000" t="s">
        <v>133</v>
      </c>
      <c r="G1000" t="s">
        <v>30</v>
      </c>
      <c r="I1000">
        <v>1</v>
      </c>
      <c r="J1000" t="s">
        <v>87</v>
      </c>
      <c r="K1000" s="1">
        <v>45251</v>
      </c>
      <c r="L1000">
        <v>698.09125619525696</v>
      </c>
      <c r="M1000">
        <v>56.276622799747898</v>
      </c>
      <c r="N1000">
        <v>0.46</v>
      </c>
      <c r="O1000">
        <v>0.01</v>
      </c>
      <c r="P1000">
        <v>5368</v>
      </c>
      <c r="Q1000">
        <v>760</v>
      </c>
      <c r="T1000">
        <v>5172</v>
      </c>
      <c r="U1000">
        <v>560</v>
      </c>
      <c r="V1000">
        <v>68.42</v>
      </c>
      <c r="W1000">
        <v>2.5427590411038099</v>
      </c>
      <c r="X1000">
        <v>323</v>
      </c>
      <c r="Y1000">
        <v>29</v>
      </c>
    </row>
    <row r="1001" spans="1:25" x14ac:dyDescent="0.25">
      <c r="A1001" t="str">
        <f t="shared" si="15"/>
        <v>2023_Vic_Dooen_Lentil_DetailedTOSTOS2VarietyKelpieXTWaterTrtRainFed</v>
      </c>
      <c r="B1001">
        <v>2023026</v>
      </c>
      <c r="C1001" t="s">
        <v>88</v>
      </c>
      <c r="D1001">
        <v>6</v>
      </c>
      <c r="E1001" t="s">
        <v>34</v>
      </c>
      <c r="F1001" t="s">
        <v>133</v>
      </c>
      <c r="G1001" t="s">
        <v>30</v>
      </c>
      <c r="I1001">
        <v>2</v>
      </c>
      <c r="J1001" t="s">
        <v>81</v>
      </c>
      <c r="K1001" s="1">
        <v>45252</v>
      </c>
      <c r="L1001">
        <v>551.857499999997</v>
      </c>
      <c r="M1001">
        <v>55.705000519387902</v>
      </c>
      <c r="N1001">
        <v>0.57699999999999996</v>
      </c>
      <c r="O1001">
        <v>0.01</v>
      </c>
      <c r="P1001">
        <v>5298</v>
      </c>
      <c r="Q1001">
        <v>510</v>
      </c>
      <c r="T1001">
        <v>6417</v>
      </c>
      <c r="U1001">
        <v>550</v>
      </c>
      <c r="V1001">
        <v>50.01</v>
      </c>
      <c r="W1001">
        <v>2.5427590411038099</v>
      </c>
      <c r="X1001">
        <v>319</v>
      </c>
      <c r="Y1001">
        <v>29</v>
      </c>
    </row>
    <row r="1002" spans="1:25" hidden="1" x14ac:dyDescent="0.25">
      <c r="A1002" t="str">
        <f t="shared" si="15"/>
        <v>2023_WA_Northam_Chickpea_DetailedTOSTOS1VarietyCBA_CaptainWaterTrtIrrigated</v>
      </c>
      <c r="B1002">
        <v>2023027</v>
      </c>
      <c r="C1002" t="s">
        <v>89</v>
      </c>
      <c r="D1002">
        <v>2</v>
      </c>
      <c r="E1002" t="s">
        <v>25</v>
      </c>
      <c r="F1002" t="s">
        <v>26</v>
      </c>
      <c r="G1002" t="s">
        <v>27</v>
      </c>
      <c r="I1002">
        <v>1</v>
      </c>
      <c r="J1002" t="s">
        <v>90</v>
      </c>
      <c r="K1002" s="1">
        <v>45111</v>
      </c>
      <c r="L1002">
        <v>9.1999999999999993</v>
      </c>
      <c r="M1002">
        <v>1.9</v>
      </c>
    </row>
    <row r="1003" spans="1:25" hidden="1" x14ac:dyDescent="0.25">
      <c r="A1003" t="str">
        <f t="shared" si="15"/>
        <v>2023_WA_Northam_Chickpea_DetailedTOSTOS2VarietyCBA_CaptainWaterTrtIrrigated</v>
      </c>
      <c r="B1003">
        <v>2023027</v>
      </c>
      <c r="C1003" t="s">
        <v>89</v>
      </c>
      <c r="D1003">
        <v>2</v>
      </c>
      <c r="E1003" t="s">
        <v>25</v>
      </c>
      <c r="F1003" t="s">
        <v>26</v>
      </c>
      <c r="G1003" t="s">
        <v>27</v>
      </c>
      <c r="I1003">
        <v>2</v>
      </c>
      <c r="J1003" t="s">
        <v>91</v>
      </c>
      <c r="K1003" s="1">
        <v>45134</v>
      </c>
      <c r="L1003">
        <v>13.2</v>
      </c>
      <c r="M1003">
        <v>1.8</v>
      </c>
    </row>
    <row r="1004" spans="1:25" hidden="1" x14ac:dyDescent="0.25">
      <c r="A1004" t="str">
        <f t="shared" si="15"/>
        <v>2023_WA_Northam_Chickpea_DetailedTOSTOS1VarietyCBA_CaptainWaterTrtRainFed</v>
      </c>
      <c r="B1004">
        <v>2023027</v>
      </c>
      <c r="C1004" t="s">
        <v>89</v>
      </c>
      <c r="D1004">
        <v>2</v>
      </c>
      <c r="E1004" t="s">
        <v>25</v>
      </c>
      <c r="F1004" t="s">
        <v>26</v>
      </c>
      <c r="G1004" t="s">
        <v>30</v>
      </c>
      <c r="I1004">
        <v>1</v>
      </c>
      <c r="J1004" t="s">
        <v>90</v>
      </c>
      <c r="K1004" s="1">
        <v>45111</v>
      </c>
      <c r="L1004">
        <v>6.5</v>
      </c>
      <c r="M1004">
        <v>2.7</v>
      </c>
    </row>
    <row r="1005" spans="1:25" hidden="1" x14ac:dyDescent="0.25">
      <c r="A1005" t="str">
        <f t="shared" si="15"/>
        <v>2023_WA_Northam_Chickpea_DetailedTOSTOS2VarietyCBA_CaptainWaterTrtRainFed</v>
      </c>
      <c r="B1005">
        <v>2023027</v>
      </c>
      <c r="C1005" t="s">
        <v>89</v>
      </c>
      <c r="D1005">
        <v>2</v>
      </c>
      <c r="E1005" t="s">
        <v>25</v>
      </c>
      <c r="F1005" t="s">
        <v>26</v>
      </c>
      <c r="G1005" t="s">
        <v>30</v>
      </c>
      <c r="I1005">
        <v>2</v>
      </c>
      <c r="J1005" t="s">
        <v>91</v>
      </c>
      <c r="K1005" s="1">
        <v>45134</v>
      </c>
      <c r="L1005">
        <v>5.4</v>
      </c>
      <c r="M1005">
        <v>2.4</v>
      </c>
    </row>
    <row r="1006" spans="1:25" hidden="1" x14ac:dyDescent="0.25">
      <c r="A1006" t="str">
        <f t="shared" si="15"/>
        <v>2023_WA_Northam_Chickpea_DetailedTOSTOS1VarietyDrummondWaterTrtIrrigated</v>
      </c>
      <c r="B1006">
        <v>2023027</v>
      </c>
      <c r="C1006" t="s">
        <v>89</v>
      </c>
      <c r="D1006">
        <v>2</v>
      </c>
      <c r="E1006" t="s">
        <v>25</v>
      </c>
      <c r="F1006" t="s">
        <v>123</v>
      </c>
      <c r="G1006" t="s">
        <v>27</v>
      </c>
      <c r="I1006">
        <v>1</v>
      </c>
      <c r="J1006" t="s">
        <v>90</v>
      </c>
      <c r="K1006" s="1">
        <v>45111</v>
      </c>
      <c r="L1006">
        <v>1.9</v>
      </c>
      <c r="M1006">
        <v>1.9</v>
      </c>
    </row>
    <row r="1007" spans="1:25" hidden="1" x14ac:dyDescent="0.25">
      <c r="A1007" t="str">
        <f t="shared" si="15"/>
        <v>2023_WA_Northam_Chickpea_DetailedTOSTOS2VarietyDrummondWaterTrtIrrigated</v>
      </c>
      <c r="B1007">
        <v>2023027</v>
      </c>
      <c r="C1007" t="s">
        <v>89</v>
      </c>
      <c r="D1007">
        <v>2</v>
      </c>
      <c r="E1007" t="s">
        <v>25</v>
      </c>
      <c r="F1007" t="s">
        <v>123</v>
      </c>
      <c r="G1007" t="s">
        <v>27</v>
      </c>
      <c r="I1007">
        <v>2</v>
      </c>
      <c r="J1007" t="s">
        <v>91</v>
      </c>
      <c r="K1007" s="1">
        <v>45134</v>
      </c>
      <c r="L1007">
        <v>9.8000000000000007</v>
      </c>
      <c r="M1007">
        <v>1.8</v>
      </c>
    </row>
    <row r="1008" spans="1:25" hidden="1" x14ac:dyDescent="0.25">
      <c r="A1008" t="str">
        <f t="shared" si="15"/>
        <v>2023_WA_Northam_Chickpea_DetailedTOSTOS1VarietyDrummondWaterTrtRainFed</v>
      </c>
      <c r="B1008">
        <v>2023027</v>
      </c>
      <c r="C1008" t="s">
        <v>89</v>
      </c>
      <c r="D1008">
        <v>2</v>
      </c>
      <c r="E1008" t="s">
        <v>25</v>
      </c>
      <c r="F1008" t="s">
        <v>123</v>
      </c>
      <c r="G1008" t="s">
        <v>30</v>
      </c>
      <c r="I1008">
        <v>1</v>
      </c>
      <c r="J1008" t="s">
        <v>90</v>
      </c>
      <c r="K1008" s="1">
        <v>45111</v>
      </c>
      <c r="L1008">
        <v>1.7</v>
      </c>
      <c r="M1008">
        <v>2.7</v>
      </c>
    </row>
    <row r="1009" spans="1:13" hidden="1" x14ac:dyDescent="0.25">
      <c r="A1009" t="str">
        <f t="shared" si="15"/>
        <v>2023_WA_Northam_Chickpea_DetailedTOSTOS2VarietyDrummondWaterTrtRainFed</v>
      </c>
      <c r="B1009">
        <v>2023027</v>
      </c>
      <c r="C1009" t="s">
        <v>89</v>
      </c>
      <c r="D1009">
        <v>2</v>
      </c>
      <c r="E1009" t="s">
        <v>25</v>
      </c>
      <c r="F1009" t="s">
        <v>123</v>
      </c>
      <c r="G1009" t="s">
        <v>30</v>
      </c>
      <c r="I1009">
        <v>2</v>
      </c>
      <c r="J1009" t="s">
        <v>91</v>
      </c>
      <c r="K1009" s="1">
        <v>45134</v>
      </c>
      <c r="L1009">
        <v>4.8</v>
      </c>
      <c r="M1009">
        <v>2.4</v>
      </c>
    </row>
    <row r="1010" spans="1:13" hidden="1" x14ac:dyDescent="0.25">
      <c r="A1010" t="str">
        <f t="shared" si="15"/>
        <v>2023_WA_Northam_Chickpea_DetailedTOSTOS1VarietyHatTrickWaterTrtIrrigated</v>
      </c>
      <c r="B1010">
        <v>2023027</v>
      </c>
      <c r="C1010" t="s">
        <v>89</v>
      </c>
      <c r="D1010">
        <v>2</v>
      </c>
      <c r="E1010" t="s">
        <v>25</v>
      </c>
      <c r="F1010" t="s">
        <v>124</v>
      </c>
      <c r="G1010" t="s">
        <v>27</v>
      </c>
      <c r="I1010">
        <v>1</v>
      </c>
      <c r="J1010" t="s">
        <v>90</v>
      </c>
      <c r="K1010" s="1">
        <v>45111</v>
      </c>
      <c r="L1010">
        <v>2.7</v>
      </c>
      <c r="M1010">
        <v>2.7</v>
      </c>
    </row>
    <row r="1011" spans="1:13" hidden="1" x14ac:dyDescent="0.25">
      <c r="A1011" t="str">
        <f t="shared" si="15"/>
        <v>2023_WA_Northam_Chickpea_DetailedTOSTOS2VarietyHatTrickWaterTrtIrrigated</v>
      </c>
      <c r="B1011">
        <v>2023027</v>
      </c>
      <c r="C1011" t="s">
        <v>89</v>
      </c>
      <c r="D1011">
        <v>2</v>
      </c>
      <c r="E1011" t="s">
        <v>25</v>
      </c>
      <c r="F1011" t="s">
        <v>124</v>
      </c>
      <c r="G1011" t="s">
        <v>27</v>
      </c>
      <c r="I1011">
        <v>2</v>
      </c>
      <c r="K1011" s="1">
        <v>45134</v>
      </c>
    </row>
    <row r="1012" spans="1:13" hidden="1" x14ac:dyDescent="0.25">
      <c r="A1012" t="str">
        <f t="shared" si="15"/>
        <v>2023_WA_Northam_Chickpea_DetailedTOSTOS1VarietyHatTrickWaterTrtRainFed</v>
      </c>
      <c r="B1012">
        <v>2023027</v>
      </c>
      <c r="C1012" t="s">
        <v>89</v>
      </c>
      <c r="D1012">
        <v>2</v>
      </c>
      <c r="E1012" t="s">
        <v>25</v>
      </c>
      <c r="F1012" t="s">
        <v>124</v>
      </c>
      <c r="G1012" t="s">
        <v>30</v>
      </c>
      <c r="I1012">
        <v>1</v>
      </c>
      <c r="J1012" t="s">
        <v>90</v>
      </c>
      <c r="K1012" s="1">
        <v>45111</v>
      </c>
      <c r="L1012">
        <v>5.8</v>
      </c>
      <c r="M1012">
        <v>1.9</v>
      </c>
    </row>
    <row r="1013" spans="1:13" hidden="1" x14ac:dyDescent="0.25">
      <c r="A1013" t="str">
        <f t="shared" si="15"/>
        <v>2023_WA_Northam_Chickpea_DetailedTOSTOS2VarietyHatTrickWaterTrtRainFed</v>
      </c>
      <c r="B1013">
        <v>2023027</v>
      </c>
      <c r="C1013" t="s">
        <v>89</v>
      </c>
      <c r="D1013">
        <v>2</v>
      </c>
      <c r="E1013" t="s">
        <v>25</v>
      </c>
      <c r="F1013" t="s">
        <v>124</v>
      </c>
      <c r="G1013" t="s">
        <v>30</v>
      </c>
      <c r="I1013">
        <v>2</v>
      </c>
      <c r="J1013" t="s">
        <v>91</v>
      </c>
      <c r="K1013" s="1">
        <v>45134</v>
      </c>
      <c r="L1013">
        <v>7.8</v>
      </c>
      <c r="M1013">
        <v>1.6</v>
      </c>
    </row>
    <row r="1014" spans="1:13" hidden="1" x14ac:dyDescent="0.25">
      <c r="A1014" t="str">
        <f t="shared" si="15"/>
        <v>2023_WA_Northam_Chickpea_DetailedTOSTOS1VarietyStrikerWaterTrtIrrigated</v>
      </c>
      <c r="B1014">
        <v>2023027</v>
      </c>
      <c r="C1014" t="s">
        <v>89</v>
      </c>
      <c r="D1014">
        <v>2</v>
      </c>
      <c r="E1014" t="s">
        <v>25</v>
      </c>
      <c r="F1014" t="s">
        <v>125</v>
      </c>
      <c r="G1014" t="s">
        <v>27</v>
      </c>
      <c r="I1014">
        <v>1</v>
      </c>
      <c r="J1014" t="s">
        <v>90</v>
      </c>
      <c r="K1014" s="1">
        <v>45111</v>
      </c>
      <c r="L1014">
        <v>7.4</v>
      </c>
      <c r="M1014">
        <v>2.7</v>
      </c>
    </row>
    <row r="1015" spans="1:13" hidden="1" x14ac:dyDescent="0.25">
      <c r="A1015" t="str">
        <f t="shared" si="15"/>
        <v>2023_WA_Northam_Chickpea_DetailedTOSTOS2VarietyStrikerWaterTrtIrrigated</v>
      </c>
      <c r="B1015">
        <v>2023027</v>
      </c>
      <c r="C1015" t="s">
        <v>89</v>
      </c>
      <c r="D1015">
        <v>2</v>
      </c>
      <c r="E1015" t="s">
        <v>25</v>
      </c>
      <c r="F1015" t="s">
        <v>125</v>
      </c>
      <c r="G1015" t="s">
        <v>27</v>
      </c>
      <c r="I1015">
        <v>2</v>
      </c>
      <c r="J1015" t="s">
        <v>91</v>
      </c>
      <c r="K1015" s="1">
        <v>45134</v>
      </c>
      <c r="L1015">
        <v>9.8000000000000007</v>
      </c>
      <c r="M1015">
        <v>1.8</v>
      </c>
    </row>
    <row r="1016" spans="1:13" hidden="1" x14ac:dyDescent="0.25">
      <c r="A1016" t="str">
        <f t="shared" si="15"/>
        <v>2023_WA_Northam_Chickpea_DetailedTOSTOS1VarietyStrikerWaterTrtRainFed</v>
      </c>
      <c r="B1016">
        <v>2023027</v>
      </c>
      <c r="C1016" t="s">
        <v>89</v>
      </c>
      <c r="D1016">
        <v>2</v>
      </c>
      <c r="E1016" t="s">
        <v>25</v>
      </c>
      <c r="F1016" t="s">
        <v>125</v>
      </c>
      <c r="G1016" t="s">
        <v>30</v>
      </c>
      <c r="I1016">
        <v>1</v>
      </c>
      <c r="J1016" t="s">
        <v>90</v>
      </c>
      <c r="K1016" s="1">
        <v>45111</v>
      </c>
      <c r="L1016">
        <v>5.3</v>
      </c>
      <c r="M1016">
        <v>1.9</v>
      </c>
    </row>
    <row r="1017" spans="1:13" hidden="1" x14ac:dyDescent="0.25">
      <c r="A1017" t="str">
        <f t="shared" si="15"/>
        <v>2023_WA_Northam_Chickpea_DetailedTOSTOS2VarietyStrikerWaterTrtRainFed</v>
      </c>
      <c r="B1017">
        <v>2023027</v>
      </c>
      <c r="C1017" t="s">
        <v>89</v>
      </c>
      <c r="D1017">
        <v>2</v>
      </c>
      <c r="E1017" t="s">
        <v>25</v>
      </c>
      <c r="F1017" t="s">
        <v>125</v>
      </c>
      <c r="G1017" t="s">
        <v>30</v>
      </c>
      <c r="I1017">
        <v>2</v>
      </c>
      <c r="J1017" t="s">
        <v>91</v>
      </c>
      <c r="K1017" s="1">
        <v>45134</v>
      </c>
      <c r="L1017">
        <v>18.8</v>
      </c>
      <c r="M1017">
        <v>2.4</v>
      </c>
    </row>
    <row r="1018" spans="1:13" hidden="1" x14ac:dyDescent="0.25">
      <c r="A1018" t="str">
        <f t="shared" si="15"/>
        <v>2023_WA_Northam_Chickpea_DetailedTOSTOS1VarietyCBA_CaptainWaterTrtIrrigated</v>
      </c>
      <c r="B1018">
        <v>2023027</v>
      </c>
      <c r="C1018" t="s">
        <v>89</v>
      </c>
      <c r="D1018">
        <v>3</v>
      </c>
      <c r="E1018" t="s">
        <v>31</v>
      </c>
      <c r="F1018" t="s">
        <v>26</v>
      </c>
      <c r="G1018" t="s">
        <v>27</v>
      </c>
      <c r="I1018">
        <v>1</v>
      </c>
      <c r="J1018" t="s">
        <v>90</v>
      </c>
      <c r="K1018" s="1">
        <v>45134</v>
      </c>
      <c r="L1018">
        <v>36.9</v>
      </c>
      <c r="M1018">
        <v>5.9</v>
      </c>
    </row>
    <row r="1019" spans="1:13" hidden="1" x14ac:dyDescent="0.25">
      <c r="A1019" t="str">
        <f t="shared" si="15"/>
        <v>2023_WA_Northam_Chickpea_DetailedTOSTOS2VarietyCBA_CaptainWaterTrtIrrigated</v>
      </c>
      <c r="B1019">
        <v>2023027</v>
      </c>
      <c r="C1019" t="s">
        <v>89</v>
      </c>
      <c r="D1019">
        <v>3</v>
      </c>
      <c r="E1019" t="s">
        <v>31</v>
      </c>
      <c r="F1019" t="s">
        <v>26</v>
      </c>
      <c r="G1019" t="s">
        <v>27</v>
      </c>
      <c r="I1019">
        <v>2</v>
      </c>
      <c r="J1019" t="s">
        <v>91</v>
      </c>
      <c r="K1019" s="1">
        <v>45163</v>
      </c>
      <c r="L1019">
        <v>76.099999999999994</v>
      </c>
      <c r="M1019">
        <v>5.7</v>
      </c>
    </row>
    <row r="1020" spans="1:13" hidden="1" x14ac:dyDescent="0.25">
      <c r="A1020" t="str">
        <f t="shared" si="15"/>
        <v>2023_WA_Northam_Chickpea_DetailedTOSTOS1VarietyCBA_CaptainWaterTrtRainFed</v>
      </c>
      <c r="B1020">
        <v>2023027</v>
      </c>
      <c r="C1020" t="s">
        <v>89</v>
      </c>
      <c r="D1020">
        <v>3</v>
      </c>
      <c r="E1020" t="s">
        <v>31</v>
      </c>
      <c r="F1020" t="s">
        <v>26</v>
      </c>
      <c r="G1020" t="s">
        <v>30</v>
      </c>
      <c r="I1020">
        <v>1</v>
      </c>
      <c r="J1020" t="s">
        <v>90</v>
      </c>
      <c r="K1020" s="1">
        <v>45134</v>
      </c>
      <c r="L1020">
        <v>42.6</v>
      </c>
      <c r="M1020">
        <v>7.9</v>
      </c>
    </row>
    <row r="1021" spans="1:13" hidden="1" x14ac:dyDescent="0.25">
      <c r="A1021" t="str">
        <f t="shared" si="15"/>
        <v>2023_WA_Northam_Chickpea_DetailedTOSTOS2VarietyCBA_CaptainWaterTrtRainFed</v>
      </c>
      <c r="B1021">
        <v>2023027</v>
      </c>
      <c r="C1021" t="s">
        <v>89</v>
      </c>
      <c r="D1021">
        <v>3</v>
      </c>
      <c r="E1021" t="s">
        <v>31</v>
      </c>
      <c r="F1021" t="s">
        <v>26</v>
      </c>
      <c r="G1021" t="s">
        <v>30</v>
      </c>
      <c r="I1021">
        <v>2</v>
      </c>
      <c r="J1021" t="s">
        <v>91</v>
      </c>
      <c r="K1021" s="1">
        <v>45163</v>
      </c>
      <c r="L1021">
        <v>74.599999999999994</v>
      </c>
      <c r="M1021">
        <v>7.6</v>
      </c>
    </row>
    <row r="1022" spans="1:13" hidden="1" x14ac:dyDescent="0.25">
      <c r="A1022" t="str">
        <f t="shared" si="15"/>
        <v>2023_WA_Northam_Chickpea_DetailedTOSTOS1VarietyDrummondWaterTrtIrrigated</v>
      </c>
      <c r="B1022">
        <v>2023027</v>
      </c>
      <c r="C1022" t="s">
        <v>89</v>
      </c>
      <c r="D1022">
        <v>3</v>
      </c>
      <c r="E1022" t="s">
        <v>31</v>
      </c>
      <c r="F1022" t="s">
        <v>123</v>
      </c>
      <c r="G1022" t="s">
        <v>27</v>
      </c>
      <c r="I1022">
        <v>1</v>
      </c>
      <c r="J1022" t="s">
        <v>90</v>
      </c>
      <c r="K1022" s="1">
        <v>45134</v>
      </c>
      <c r="L1022">
        <v>30.1</v>
      </c>
      <c r="M1022">
        <v>5.9</v>
      </c>
    </row>
    <row r="1023" spans="1:13" hidden="1" x14ac:dyDescent="0.25">
      <c r="A1023" t="str">
        <f t="shared" si="15"/>
        <v>2023_WA_Northam_Chickpea_DetailedTOSTOS2VarietyDrummondWaterTrtIrrigated</v>
      </c>
      <c r="B1023">
        <v>2023027</v>
      </c>
      <c r="C1023" t="s">
        <v>89</v>
      </c>
      <c r="D1023">
        <v>3</v>
      </c>
      <c r="E1023" t="s">
        <v>31</v>
      </c>
      <c r="F1023" t="s">
        <v>123</v>
      </c>
      <c r="G1023" t="s">
        <v>27</v>
      </c>
      <c r="I1023">
        <v>2</v>
      </c>
      <c r="J1023" t="s">
        <v>91</v>
      </c>
      <c r="K1023" s="1">
        <v>45163</v>
      </c>
      <c r="L1023">
        <v>58.5</v>
      </c>
      <c r="M1023">
        <v>5.8</v>
      </c>
    </row>
    <row r="1024" spans="1:13" hidden="1" x14ac:dyDescent="0.25">
      <c r="A1024" t="str">
        <f t="shared" si="15"/>
        <v>2023_WA_Northam_Chickpea_DetailedTOSTOS1VarietyDrummondWaterTrtRainFed</v>
      </c>
      <c r="B1024">
        <v>2023027</v>
      </c>
      <c r="C1024" t="s">
        <v>89</v>
      </c>
      <c r="D1024">
        <v>3</v>
      </c>
      <c r="E1024" t="s">
        <v>31</v>
      </c>
      <c r="F1024" t="s">
        <v>123</v>
      </c>
      <c r="G1024" t="s">
        <v>30</v>
      </c>
      <c r="I1024">
        <v>1</v>
      </c>
      <c r="J1024" t="s">
        <v>90</v>
      </c>
      <c r="K1024" s="1">
        <v>45134</v>
      </c>
      <c r="L1024">
        <v>34.799999999999997</v>
      </c>
      <c r="M1024">
        <v>7.9</v>
      </c>
    </row>
    <row r="1025" spans="1:13" hidden="1" x14ac:dyDescent="0.25">
      <c r="A1025" t="str">
        <f t="shared" si="15"/>
        <v>2023_WA_Northam_Chickpea_DetailedTOSTOS2VarietyDrummondWaterTrtRainFed</v>
      </c>
      <c r="B1025">
        <v>2023027</v>
      </c>
      <c r="C1025" t="s">
        <v>89</v>
      </c>
      <c r="D1025">
        <v>3</v>
      </c>
      <c r="E1025" t="s">
        <v>31</v>
      </c>
      <c r="F1025" t="s">
        <v>123</v>
      </c>
      <c r="G1025" t="s">
        <v>30</v>
      </c>
      <c r="I1025">
        <v>2</v>
      </c>
      <c r="J1025" t="s">
        <v>91</v>
      </c>
      <c r="K1025" s="1">
        <v>45163</v>
      </c>
      <c r="L1025">
        <v>96.8</v>
      </c>
      <c r="M1025">
        <v>7.5</v>
      </c>
    </row>
    <row r="1026" spans="1:13" hidden="1" x14ac:dyDescent="0.25">
      <c r="A1026" t="str">
        <f t="shared" si="15"/>
        <v>2023_WA_Northam_Chickpea_DetailedTOSTOS1VarietyHatTrickWaterTrtIrrigated</v>
      </c>
      <c r="B1026">
        <v>2023027</v>
      </c>
      <c r="C1026" t="s">
        <v>89</v>
      </c>
      <c r="D1026">
        <v>3</v>
      </c>
      <c r="E1026" t="s">
        <v>31</v>
      </c>
      <c r="F1026" t="s">
        <v>124</v>
      </c>
      <c r="G1026" t="s">
        <v>27</v>
      </c>
      <c r="I1026">
        <v>1</v>
      </c>
      <c r="J1026" t="s">
        <v>90</v>
      </c>
      <c r="K1026" s="1">
        <v>45134</v>
      </c>
      <c r="L1026">
        <v>33.1</v>
      </c>
      <c r="M1026">
        <v>7.9</v>
      </c>
    </row>
    <row r="1027" spans="1:13" hidden="1" x14ac:dyDescent="0.25">
      <c r="A1027" t="str">
        <f t="shared" ref="A1027:A1090" si="16">C1027&amp;"TOSTOS"&amp;I1027&amp;"Variety"&amp;F1027&amp;"WaterTrt"&amp;G1027&amp;IF(H1027="","","Agronomy"&amp;H1027)</f>
        <v>2023_WA_Northam_Chickpea_DetailedTOSTOS2VarietyHatTrickWaterTrtIrrigated</v>
      </c>
      <c r="B1027">
        <v>2023027</v>
      </c>
      <c r="C1027" t="s">
        <v>89</v>
      </c>
      <c r="D1027">
        <v>3</v>
      </c>
      <c r="E1027" t="s">
        <v>31</v>
      </c>
      <c r="F1027" t="s">
        <v>124</v>
      </c>
      <c r="G1027" t="s">
        <v>27</v>
      </c>
      <c r="I1027">
        <v>2</v>
      </c>
      <c r="K1027" s="1">
        <v>45163</v>
      </c>
    </row>
    <row r="1028" spans="1:13" hidden="1" x14ac:dyDescent="0.25">
      <c r="A1028" t="str">
        <f t="shared" si="16"/>
        <v>2023_WA_Northam_Chickpea_DetailedTOSTOS1VarietyHatTrickWaterTrtRainFed</v>
      </c>
      <c r="B1028">
        <v>2023027</v>
      </c>
      <c r="C1028" t="s">
        <v>89</v>
      </c>
      <c r="D1028">
        <v>3</v>
      </c>
      <c r="E1028" t="s">
        <v>31</v>
      </c>
      <c r="F1028" t="s">
        <v>124</v>
      </c>
      <c r="G1028" t="s">
        <v>30</v>
      </c>
      <c r="I1028">
        <v>1</v>
      </c>
      <c r="J1028" t="s">
        <v>90</v>
      </c>
      <c r="K1028" s="1">
        <v>45134</v>
      </c>
      <c r="L1028">
        <v>32.200000000000003</v>
      </c>
      <c r="M1028">
        <v>5.9</v>
      </c>
    </row>
    <row r="1029" spans="1:13" hidden="1" x14ac:dyDescent="0.25">
      <c r="A1029" t="str">
        <f t="shared" si="16"/>
        <v>2023_WA_Northam_Chickpea_DetailedTOSTOS2VarietyHatTrickWaterTrtRainFed</v>
      </c>
      <c r="B1029">
        <v>2023027</v>
      </c>
      <c r="C1029" t="s">
        <v>89</v>
      </c>
      <c r="D1029">
        <v>3</v>
      </c>
      <c r="E1029" t="s">
        <v>31</v>
      </c>
      <c r="F1029" t="s">
        <v>124</v>
      </c>
      <c r="G1029" t="s">
        <v>30</v>
      </c>
      <c r="I1029">
        <v>2</v>
      </c>
      <c r="J1029" t="s">
        <v>91</v>
      </c>
      <c r="K1029" s="1">
        <v>45163</v>
      </c>
      <c r="L1029">
        <v>75.5</v>
      </c>
      <c r="M1029">
        <v>5</v>
      </c>
    </row>
    <row r="1030" spans="1:13" hidden="1" x14ac:dyDescent="0.25">
      <c r="A1030" t="str">
        <f t="shared" si="16"/>
        <v>2023_WA_Northam_Chickpea_DetailedTOSTOS1VarietyStrikerWaterTrtIrrigated</v>
      </c>
      <c r="B1030">
        <v>2023027</v>
      </c>
      <c r="C1030" t="s">
        <v>89</v>
      </c>
      <c r="D1030">
        <v>3</v>
      </c>
      <c r="E1030" t="s">
        <v>31</v>
      </c>
      <c r="F1030" t="s">
        <v>125</v>
      </c>
      <c r="G1030" t="s">
        <v>27</v>
      </c>
      <c r="I1030">
        <v>1</v>
      </c>
      <c r="J1030" t="s">
        <v>90</v>
      </c>
      <c r="K1030" s="1">
        <v>45134</v>
      </c>
      <c r="L1030">
        <v>31.8</v>
      </c>
      <c r="M1030">
        <v>7.9</v>
      </c>
    </row>
    <row r="1031" spans="1:13" hidden="1" x14ac:dyDescent="0.25">
      <c r="A1031" t="str">
        <f t="shared" si="16"/>
        <v>2023_WA_Northam_Chickpea_DetailedTOSTOS2VarietyStrikerWaterTrtIrrigated</v>
      </c>
      <c r="B1031">
        <v>2023027</v>
      </c>
      <c r="C1031" t="s">
        <v>89</v>
      </c>
      <c r="D1031">
        <v>3</v>
      </c>
      <c r="E1031" t="s">
        <v>31</v>
      </c>
      <c r="F1031" t="s">
        <v>125</v>
      </c>
      <c r="G1031" t="s">
        <v>27</v>
      </c>
      <c r="I1031">
        <v>2</v>
      </c>
      <c r="J1031" t="s">
        <v>91</v>
      </c>
      <c r="K1031" s="1">
        <v>45163</v>
      </c>
      <c r="L1031">
        <v>69.3</v>
      </c>
      <c r="M1031">
        <v>5.8</v>
      </c>
    </row>
    <row r="1032" spans="1:13" hidden="1" x14ac:dyDescent="0.25">
      <c r="A1032" t="str">
        <f t="shared" si="16"/>
        <v>2023_WA_Northam_Chickpea_DetailedTOSTOS1VarietyStrikerWaterTrtRainFed</v>
      </c>
      <c r="B1032">
        <v>2023027</v>
      </c>
      <c r="C1032" t="s">
        <v>89</v>
      </c>
      <c r="D1032">
        <v>3</v>
      </c>
      <c r="E1032" t="s">
        <v>31</v>
      </c>
      <c r="F1032" t="s">
        <v>125</v>
      </c>
      <c r="G1032" t="s">
        <v>30</v>
      </c>
      <c r="I1032">
        <v>1</v>
      </c>
      <c r="J1032" t="s">
        <v>90</v>
      </c>
      <c r="K1032" s="1">
        <v>45134</v>
      </c>
      <c r="L1032">
        <v>29.4</v>
      </c>
      <c r="M1032">
        <v>5.9</v>
      </c>
    </row>
    <row r="1033" spans="1:13" hidden="1" x14ac:dyDescent="0.25">
      <c r="A1033" t="str">
        <f t="shared" si="16"/>
        <v>2023_WA_Northam_Chickpea_DetailedTOSTOS2VarietyStrikerWaterTrtRainFed</v>
      </c>
      <c r="B1033">
        <v>2023027</v>
      </c>
      <c r="C1033" t="s">
        <v>89</v>
      </c>
      <c r="D1033">
        <v>3</v>
      </c>
      <c r="E1033" t="s">
        <v>31</v>
      </c>
      <c r="F1033" t="s">
        <v>125</v>
      </c>
      <c r="G1033" t="s">
        <v>30</v>
      </c>
      <c r="I1033">
        <v>2</v>
      </c>
      <c r="J1033" t="s">
        <v>91</v>
      </c>
      <c r="K1033" s="1">
        <v>45163</v>
      </c>
      <c r="L1033">
        <v>70</v>
      </c>
      <c r="M1033">
        <v>7.6</v>
      </c>
    </row>
    <row r="1034" spans="1:13" hidden="1" x14ac:dyDescent="0.25">
      <c r="A1034" t="str">
        <f t="shared" si="16"/>
        <v>2023_WA_Northam_Chickpea_DetailedTOSTOS1VarietyCBA_CaptainWaterTrtIrrigated</v>
      </c>
      <c r="B1034">
        <v>2023027</v>
      </c>
      <c r="C1034" t="s">
        <v>89</v>
      </c>
      <c r="D1034">
        <v>4</v>
      </c>
      <c r="E1034" t="s">
        <v>32</v>
      </c>
      <c r="F1034" t="s">
        <v>26</v>
      </c>
      <c r="G1034" t="s">
        <v>27</v>
      </c>
      <c r="I1034">
        <v>1</v>
      </c>
      <c r="J1034" t="s">
        <v>90</v>
      </c>
      <c r="K1034" s="1">
        <v>45174</v>
      </c>
      <c r="L1034">
        <v>252.4</v>
      </c>
      <c r="M1034">
        <v>23</v>
      </c>
    </row>
    <row r="1035" spans="1:13" hidden="1" x14ac:dyDescent="0.25">
      <c r="A1035" t="str">
        <f t="shared" si="16"/>
        <v>2023_WA_Northam_Chickpea_DetailedTOSTOS2VarietyCBA_CaptainWaterTrtIrrigated</v>
      </c>
      <c r="B1035">
        <v>2023027</v>
      </c>
      <c r="C1035" t="s">
        <v>89</v>
      </c>
      <c r="D1035">
        <v>4</v>
      </c>
      <c r="E1035" t="s">
        <v>32</v>
      </c>
      <c r="F1035" t="s">
        <v>26</v>
      </c>
      <c r="G1035" t="s">
        <v>27</v>
      </c>
      <c r="I1035">
        <v>2</v>
      </c>
      <c r="J1035" t="s">
        <v>91</v>
      </c>
      <c r="K1035" s="1">
        <v>45188</v>
      </c>
      <c r="L1035">
        <v>294.5</v>
      </c>
      <c r="M1035">
        <v>23</v>
      </c>
    </row>
    <row r="1036" spans="1:13" hidden="1" x14ac:dyDescent="0.25">
      <c r="A1036" t="str">
        <f t="shared" si="16"/>
        <v>2023_WA_Northam_Chickpea_DetailedTOSTOS1VarietyCBA_CaptainWaterTrtRainFed</v>
      </c>
      <c r="B1036">
        <v>2023027</v>
      </c>
      <c r="C1036" t="s">
        <v>89</v>
      </c>
      <c r="D1036">
        <v>4</v>
      </c>
      <c r="E1036" t="s">
        <v>32</v>
      </c>
      <c r="F1036" t="s">
        <v>26</v>
      </c>
      <c r="G1036" t="s">
        <v>30</v>
      </c>
      <c r="I1036">
        <v>1</v>
      </c>
      <c r="J1036" t="s">
        <v>90</v>
      </c>
      <c r="K1036" s="1">
        <v>45174</v>
      </c>
      <c r="L1036">
        <v>145.9</v>
      </c>
      <c r="M1036">
        <v>29</v>
      </c>
    </row>
    <row r="1037" spans="1:13" hidden="1" x14ac:dyDescent="0.25">
      <c r="A1037" t="str">
        <f t="shared" si="16"/>
        <v>2023_WA_Northam_Chickpea_DetailedTOSTOS2VarietyCBA_CaptainWaterTrtRainFed</v>
      </c>
      <c r="B1037">
        <v>2023027</v>
      </c>
      <c r="C1037" t="s">
        <v>89</v>
      </c>
      <c r="D1037">
        <v>4</v>
      </c>
      <c r="E1037" t="s">
        <v>32</v>
      </c>
      <c r="F1037" t="s">
        <v>26</v>
      </c>
      <c r="G1037" t="s">
        <v>30</v>
      </c>
      <c r="I1037">
        <v>2</v>
      </c>
      <c r="J1037" t="s">
        <v>91</v>
      </c>
      <c r="K1037" s="1">
        <v>45188</v>
      </c>
      <c r="L1037">
        <v>260.39999999999998</v>
      </c>
      <c r="M1037">
        <v>27</v>
      </c>
    </row>
    <row r="1038" spans="1:13" hidden="1" x14ac:dyDescent="0.25">
      <c r="A1038" t="str">
        <f t="shared" si="16"/>
        <v>2023_WA_Northam_Chickpea_DetailedTOSTOS1VarietyDrummondWaterTrtIrrigated</v>
      </c>
      <c r="B1038">
        <v>2023027</v>
      </c>
      <c r="C1038" t="s">
        <v>89</v>
      </c>
      <c r="D1038">
        <v>4</v>
      </c>
      <c r="E1038" t="s">
        <v>32</v>
      </c>
      <c r="F1038" t="s">
        <v>123</v>
      </c>
      <c r="G1038" t="s">
        <v>27</v>
      </c>
      <c r="I1038">
        <v>1</v>
      </c>
      <c r="J1038" t="s">
        <v>90</v>
      </c>
      <c r="K1038" s="1">
        <v>45176</v>
      </c>
      <c r="L1038">
        <v>246.7</v>
      </c>
      <c r="M1038">
        <v>23</v>
      </c>
    </row>
    <row r="1039" spans="1:13" hidden="1" x14ac:dyDescent="0.25">
      <c r="A1039" t="str">
        <f t="shared" si="16"/>
        <v>2023_WA_Northam_Chickpea_DetailedTOSTOS2VarietyDrummondWaterTrtIrrigated</v>
      </c>
      <c r="B1039">
        <v>2023027</v>
      </c>
      <c r="C1039" t="s">
        <v>89</v>
      </c>
      <c r="D1039">
        <v>4</v>
      </c>
      <c r="E1039" t="s">
        <v>32</v>
      </c>
      <c r="F1039" t="s">
        <v>123</v>
      </c>
      <c r="G1039" t="s">
        <v>27</v>
      </c>
      <c r="I1039">
        <v>2</v>
      </c>
      <c r="J1039" t="s">
        <v>91</v>
      </c>
      <c r="K1039" s="1">
        <v>45190</v>
      </c>
      <c r="L1039">
        <v>201.6</v>
      </c>
      <c r="M1039">
        <v>23</v>
      </c>
    </row>
    <row r="1040" spans="1:13" hidden="1" x14ac:dyDescent="0.25">
      <c r="A1040" t="str">
        <f t="shared" si="16"/>
        <v>2023_WA_Northam_Chickpea_DetailedTOSTOS1VarietyDrummondWaterTrtRainFed</v>
      </c>
      <c r="B1040">
        <v>2023027</v>
      </c>
      <c r="C1040" t="s">
        <v>89</v>
      </c>
      <c r="D1040">
        <v>4</v>
      </c>
      <c r="E1040" t="s">
        <v>32</v>
      </c>
      <c r="F1040" t="s">
        <v>123</v>
      </c>
      <c r="G1040" t="s">
        <v>30</v>
      </c>
      <c r="I1040">
        <v>1</v>
      </c>
      <c r="J1040" t="s">
        <v>90</v>
      </c>
      <c r="K1040" s="1">
        <v>45176</v>
      </c>
      <c r="L1040">
        <v>248.8</v>
      </c>
      <c r="M1040">
        <v>30</v>
      </c>
    </row>
    <row r="1041" spans="1:13" hidden="1" x14ac:dyDescent="0.25">
      <c r="A1041" t="str">
        <f t="shared" si="16"/>
        <v>2023_WA_Northam_Chickpea_DetailedTOSTOS2VarietyDrummondWaterTrtRainFed</v>
      </c>
      <c r="B1041">
        <v>2023027</v>
      </c>
      <c r="C1041" t="s">
        <v>89</v>
      </c>
      <c r="D1041">
        <v>4</v>
      </c>
      <c r="E1041" t="s">
        <v>32</v>
      </c>
      <c r="F1041" t="s">
        <v>123</v>
      </c>
      <c r="G1041" t="s">
        <v>30</v>
      </c>
      <c r="I1041">
        <v>2</v>
      </c>
      <c r="J1041" t="s">
        <v>91</v>
      </c>
      <c r="K1041" s="1">
        <v>45190</v>
      </c>
      <c r="L1041">
        <v>218.1</v>
      </c>
      <c r="M1041">
        <v>27</v>
      </c>
    </row>
    <row r="1042" spans="1:13" hidden="1" x14ac:dyDescent="0.25">
      <c r="A1042" t="str">
        <f t="shared" si="16"/>
        <v>2023_WA_Northam_Chickpea_DetailedTOSTOS1VarietyHatTrickWaterTrtIrrigated</v>
      </c>
      <c r="B1042">
        <v>2023027</v>
      </c>
      <c r="C1042" t="s">
        <v>89</v>
      </c>
      <c r="D1042">
        <v>4</v>
      </c>
      <c r="E1042" t="s">
        <v>32</v>
      </c>
      <c r="F1042" t="s">
        <v>124</v>
      </c>
      <c r="G1042" t="s">
        <v>27</v>
      </c>
      <c r="I1042">
        <v>1</v>
      </c>
      <c r="J1042" t="s">
        <v>90</v>
      </c>
      <c r="K1042" s="1">
        <v>45176</v>
      </c>
      <c r="L1042">
        <v>291.89999999999998</v>
      </c>
      <c r="M1042">
        <v>28</v>
      </c>
    </row>
    <row r="1043" spans="1:13" hidden="1" x14ac:dyDescent="0.25">
      <c r="A1043" t="str">
        <f t="shared" si="16"/>
        <v>2023_WA_Northam_Chickpea_DetailedTOSTOS2VarietyHatTrickWaterTrtIrrigated</v>
      </c>
      <c r="B1043">
        <v>2023027</v>
      </c>
      <c r="C1043" t="s">
        <v>89</v>
      </c>
      <c r="D1043">
        <v>4</v>
      </c>
      <c r="E1043" t="s">
        <v>32</v>
      </c>
      <c r="F1043" t="s">
        <v>124</v>
      </c>
      <c r="G1043" t="s">
        <v>27</v>
      </c>
      <c r="I1043">
        <v>2</v>
      </c>
      <c r="K1043" s="1">
        <v>45190</v>
      </c>
    </row>
    <row r="1044" spans="1:13" hidden="1" x14ac:dyDescent="0.25">
      <c r="A1044" t="str">
        <f t="shared" si="16"/>
        <v>2023_WA_Northam_Chickpea_DetailedTOSTOS1VarietyHatTrickWaterTrtRainFed</v>
      </c>
      <c r="B1044">
        <v>2023027</v>
      </c>
      <c r="C1044" t="s">
        <v>89</v>
      </c>
      <c r="D1044">
        <v>4</v>
      </c>
      <c r="E1044" t="s">
        <v>32</v>
      </c>
      <c r="F1044" t="s">
        <v>124</v>
      </c>
      <c r="G1044" t="s">
        <v>30</v>
      </c>
      <c r="I1044">
        <v>1</v>
      </c>
      <c r="J1044" t="s">
        <v>90</v>
      </c>
      <c r="K1044" s="1">
        <v>45176</v>
      </c>
      <c r="L1044">
        <v>239.4</v>
      </c>
      <c r="M1044">
        <v>25</v>
      </c>
    </row>
    <row r="1045" spans="1:13" hidden="1" x14ac:dyDescent="0.25">
      <c r="A1045" t="str">
        <f t="shared" si="16"/>
        <v>2023_WA_Northam_Chickpea_DetailedTOSTOS2VarietyHatTrickWaterTrtRainFed</v>
      </c>
      <c r="B1045">
        <v>2023027</v>
      </c>
      <c r="C1045" t="s">
        <v>89</v>
      </c>
      <c r="D1045">
        <v>4</v>
      </c>
      <c r="E1045" t="s">
        <v>32</v>
      </c>
      <c r="F1045" t="s">
        <v>124</v>
      </c>
      <c r="G1045" t="s">
        <v>30</v>
      </c>
      <c r="I1045">
        <v>2</v>
      </c>
      <c r="J1045" t="s">
        <v>91</v>
      </c>
      <c r="K1045" s="1">
        <v>45190</v>
      </c>
      <c r="L1045">
        <v>182</v>
      </c>
      <c r="M1045">
        <v>21</v>
      </c>
    </row>
    <row r="1046" spans="1:13" hidden="1" x14ac:dyDescent="0.25">
      <c r="A1046" t="str">
        <f t="shared" si="16"/>
        <v>2023_WA_Northam_Chickpea_DetailedTOSTOS1VarietyStrikerWaterTrtIrrigated</v>
      </c>
      <c r="B1046">
        <v>2023027</v>
      </c>
      <c r="C1046" t="s">
        <v>89</v>
      </c>
      <c r="D1046">
        <v>4</v>
      </c>
      <c r="E1046" t="s">
        <v>32</v>
      </c>
      <c r="F1046" t="s">
        <v>125</v>
      </c>
      <c r="G1046" t="s">
        <v>27</v>
      </c>
      <c r="I1046">
        <v>1</v>
      </c>
      <c r="J1046" t="s">
        <v>90</v>
      </c>
      <c r="K1046" s="1">
        <v>45176</v>
      </c>
      <c r="L1046">
        <v>286.8</v>
      </c>
      <c r="M1046">
        <v>28</v>
      </c>
    </row>
    <row r="1047" spans="1:13" hidden="1" x14ac:dyDescent="0.25">
      <c r="A1047" t="str">
        <f t="shared" si="16"/>
        <v>2023_WA_Northam_Chickpea_DetailedTOSTOS2VarietyStrikerWaterTrtIrrigated</v>
      </c>
      <c r="B1047">
        <v>2023027</v>
      </c>
      <c r="C1047" t="s">
        <v>89</v>
      </c>
      <c r="D1047">
        <v>4</v>
      </c>
      <c r="E1047" t="s">
        <v>32</v>
      </c>
      <c r="F1047" t="s">
        <v>125</v>
      </c>
      <c r="G1047" t="s">
        <v>27</v>
      </c>
      <c r="I1047">
        <v>2</v>
      </c>
      <c r="J1047" t="s">
        <v>91</v>
      </c>
      <c r="K1047" s="1">
        <v>45190</v>
      </c>
      <c r="L1047">
        <v>292.3</v>
      </c>
      <c r="M1047">
        <v>23</v>
      </c>
    </row>
    <row r="1048" spans="1:13" hidden="1" x14ac:dyDescent="0.25">
      <c r="A1048" t="str">
        <f t="shared" si="16"/>
        <v>2023_WA_Northam_Chickpea_DetailedTOSTOS1VarietyStrikerWaterTrtRainFed</v>
      </c>
      <c r="B1048">
        <v>2023027</v>
      </c>
      <c r="C1048" t="s">
        <v>89</v>
      </c>
      <c r="D1048">
        <v>4</v>
      </c>
      <c r="E1048" t="s">
        <v>32</v>
      </c>
      <c r="F1048" t="s">
        <v>125</v>
      </c>
      <c r="G1048" t="s">
        <v>30</v>
      </c>
      <c r="I1048">
        <v>1</v>
      </c>
      <c r="J1048" t="s">
        <v>90</v>
      </c>
      <c r="K1048" s="1">
        <v>45176</v>
      </c>
      <c r="L1048">
        <v>233</v>
      </c>
      <c r="M1048">
        <v>23</v>
      </c>
    </row>
    <row r="1049" spans="1:13" hidden="1" x14ac:dyDescent="0.25">
      <c r="A1049" t="str">
        <f t="shared" si="16"/>
        <v>2023_WA_Northam_Chickpea_DetailedTOSTOS2VarietyStrikerWaterTrtRainFed</v>
      </c>
      <c r="B1049">
        <v>2023027</v>
      </c>
      <c r="C1049" t="s">
        <v>89</v>
      </c>
      <c r="D1049">
        <v>4</v>
      </c>
      <c r="E1049" t="s">
        <v>32</v>
      </c>
      <c r="F1049" t="s">
        <v>125</v>
      </c>
      <c r="G1049" t="s">
        <v>30</v>
      </c>
      <c r="I1049">
        <v>2</v>
      </c>
      <c r="J1049" t="s">
        <v>91</v>
      </c>
      <c r="K1049" s="1">
        <v>45190</v>
      </c>
      <c r="L1049">
        <v>244</v>
      </c>
      <c r="M1049">
        <v>27</v>
      </c>
    </row>
    <row r="1050" spans="1:13" hidden="1" x14ac:dyDescent="0.25">
      <c r="A1050" t="str">
        <f t="shared" si="16"/>
        <v>2023_WA_Northam_Chickpea_DetailedTOSTOS1VarietyCBA_CaptainWaterTrtIrrigated</v>
      </c>
      <c r="B1050">
        <v>2023027</v>
      </c>
      <c r="C1050" t="s">
        <v>89</v>
      </c>
      <c r="D1050">
        <v>5</v>
      </c>
      <c r="E1050" t="s">
        <v>33</v>
      </c>
      <c r="F1050" t="s">
        <v>26</v>
      </c>
      <c r="G1050" t="s">
        <v>27</v>
      </c>
      <c r="I1050">
        <v>1</v>
      </c>
      <c r="J1050" t="s">
        <v>90</v>
      </c>
      <c r="K1050" s="1">
        <v>45195</v>
      </c>
      <c r="L1050">
        <v>524.79999999999995</v>
      </c>
      <c r="M1050">
        <v>60</v>
      </c>
    </row>
    <row r="1051" spans="1:13" hidden="1" x14ac:dyDescent="0.25">
      <c r="A1051" t="str">
        <f t="shared" si="16"/>
        <v>2023_WA_Northam_Chickpea_DetailedTOSTOS2VarietyCBA_CaptainWaterTrtIrrigated</v>
      </c>
      <c r="B1051">
        <v>2023027</v>
      </c>
      <c r="C1051" t="s">
        <v>89</v>
      </c>
      <c r="D1051">
        <v>5</v>
      </c>
      <c r="E1051" t="s">
        <v>33</v>
      </c>
      <c r="F1051" t="s">
        <v>26</v>
      </c>
      <c r="G1051" t="s">
        <v>27</v>
      </c>
      <c r="I1051">
        <v>2</v>
      </c>
      <c r="J1051" t="s">
        <v>91</v>
      </c>
      <c r="K1051" s="1">
        <v>45209</v>
      </c>
      <c r="L1051">
        <v>488.4</v>
      </c>
      <c r="M1051">
        <v>52</v>
      </c>
    </row>
    <row r="1052" spans="1:13" hidden="1" x14ac:dyDescent="0.25">
      <c r="A1052" t="str">
        <f t="shared" si="16"/>
        <v>2023_WA_Northam_Chickpea_DetailedTOSTOS1VarietyCBA_CaptainWaterTrtRainFed</v>
      </c>
      <c r="B1052">
        <v>2023027</v>
      </c>
      <c r="C1052" t="s">
        <v>89</v>
      </c>
      <c r="D1052">
        <v>5</v>
      </c>
      <c r="E1052" t="s">
        <v>33</v>
      </c>
      <c r="F1052" t="s">
        <v>26</v>
      </c>
      <c r="G1052" t="s">
        <v>30</v>
      </c>
      <c r="I1052">
        <v>1</v>
      </c>
      <c r="J1052" t="s">
        <v>90</v>
      </c>
      <c r="K1052" s="1">
        <v>45195</v>
      </c>
      <c r="L1052">
        <v>359.9</v>
      </c>
      <c r="M1052">
        <v>78</v>
      </c>
    </row>
    <row r="1053" spans="1:13" hidden="1" x14ac:dyDescent="0.25">
      <c r="A1053" t="str">
        <f t="shared" si="16"/>
        <v>2023_WA_Northam_Chickpea_DetailedTOSTOS2VarietyCBA_CaptainWaterTrtRainFed</v>
      </c>
      <c r="B1053">
        <v>2023027</v>
      </c>
      <c r="C1053" t="s">
        <v>89</v>
      </c>
      <c r="D1053">
        <v>5</v>
      </c>
      <c r="E1053" t="s">
        <v>33</v>
      </c>
      <c r="F1053" t="s">
        <v>26</v>
      </c>
      <c r="G1053" t="s">
        <v>30</v>
      </c>
      <c r="I1053">
        <v>2</v>
      </c>
      <c r="J1053" t="s">
        <v>91</v>
      </c>
      <c r="K1053" s="1">
        <v>45209</v>
      </c>
      <c r="L1053">
        <v>401.4</v>
      </c>
      <c r="M1053">
        <v>52</v>
      </c>
    </row>
    <row r="1054" spans="1:13" hidden="1" x14ac:dyDescent="0.25">
      <c r="A1054" t="str">
        <f t="shared" si="16"/>
        <v>2023_WA_Northam_Chickpea_DetailedTOSTOS1VarietyDrummondWaterTrtIrrigated</v>
      </c>
      <c r="B1054">
        <v>2023027</v>
      </c>
      <c r="C1054" t="s">
        <v>89</v>
      </c>
      <c r="D1054">
        <v>5</v>
      </c>
      <c r="E1054" t="s">
        <v>33</v>
      </c>
      <c r="F1054" t="s">
        <v>123</v>
      </c>
      <c r="G1054" t="s">
        <v>27</v>
      </c>
      <c r="I1054">
        <v>1</v>
      </c>
      <c r="J1054" t="s">
        <v>90</v>
      </c>
      <c r="K1054" s="1">
        <v>45197</v>
      </c>
      <c r="L1054">
        <v>498.8</v>
      </c>
      <c r="M1054">
        <v>60</v>
      </c>
    </row>
    <row r="1055" spans="1:13" hidden="1" x14ac:dyDescent="0.25">
      <c r="A1055" t="str">
        <f t="shared" si="16"/>
        <v>2023_WA_Northam_Chickpea_DetailedTOSTOS2VarietyDrummondWaterTrtIrrigated</v>
      </c>
      <c r="B1055">
        <v>2023027</v>
      </c>
      <c r="C1055" t="s">
        <v>89</v>
      </c>
      <c r="D1055">
        <v>5</v>
      </c>
      <c r="E1055" t="s">
        <v>33</v>
      </c>
      <c r="F1055" t="s">
        <v>123</v>
      </c>
      <c r="G1055" t="s">
        <v>27</v>
      </c>
      <c r="I1055">
        <v>2</v>
      </c>
      <c r="J1055" t="s">
        <v>91</v>
      </c>
      <c r="K1055" s="1">
        <v>45211</v>
      </c>
      <c r="L1055">
        <v>535.5</v>
      </c>
      <c r="M1055">
        <v>52</v>
      </c>
    </row>
    <row r="1056" spans="1:13" hidden="1" x14ac:dyDescent="0.25">
      <c r="A1056" t="str">
        <f t="shared" si="16"/>
        <v>2023_WA_Northam_Chickpea_DetailedTOSTOS1VarietyDrummondWaterTrtRainFed</v>
      </c>
      <c r="B1056">
        <v>2023027</v>
      </c>
      <c r="C1056" t="s">
        <v>89</v>
      </c>
      <c r="D1056">
        <v>5</v>
      </c>
      <c r="E1056" t="s">
        <v>33</v>
      </c>
      <c r="F1056" t="s">
        <v>123</v>
      </c>
      <c r="G1056" t="s">
        <v>30</v>
      </c>
      <c r="I1056">
        <v>1</v>
      </c>
      <c r="J1056" t="s">
        <v>90</v>
      </c>
      <c r="K1056" s="1">
        <v>45197</v>
      </c>
      <c r="L1056">
        <v>484</v>
      </c>
      <c r="M1056">
        <v>80</v>
      </c>
    </row>
    <row r="1057" spans="1:25" hidden="1" x14ac:dyDescent="0.25">
      <c r="A1057" t="str">
        <f t="shared" si="16"/>
        <v>2023_WA_Northam_Chickpea_DetailedTOSTOS2VarietyDrummondWaterTrtRainFed</v>
      </c>
      <c r="B1057">
        <v>2023027</v>
      </c>
      <c r="C1057" t="s">
        <v>89</v>
      </c>
      <c r="D1057">
        <v>5</v>
      </c>
      <c r="E1057" t="s">
        <v>33</v>
      </c>
      <c r="F1057" t="s">
        <v>123</v>
      </c>
      <c r="G1057" t="s">
        <v>30</v>
      </c>
      <c r="I1057">
        <v>2</v>
      </c>
      <c r="J1057" t="s">
        <v>91</v>
      </c>
      <c r="K1057" s="1">
        <v>45211</v>
      </c>
      <c r="L1057">
        <v>490.4</v>
      </c>
      <c r="M1057">
        <v>52</v>
      </c>
    </row>
    <row r="1058" spans="1:25" hidden="1" x14ac:dyDescent="0.25">
      <c r="A1058" t="str">
        <f t="shared" si="16"/>
        <v>2023_WA_Northam_Chickpea_DetailedTOSTOS1VarietyHatTrickWaterTrtIrrigated</v>
      </c>
      <c r="B1058">
        <v>2023027</v>
      </c>
      <c r="C1058" t="s">
        <v>89</v>
      </c>
      <c r="D1058">
        <v>5</v>
      </c>
      <c r="E1058" t="s">
        <v>33</v>
      </c>
      <c r="F1058" t="s">
        <v>124</v>
      </c>
      <c r="G1058" t="s">
        <v>27</v>
      </c>
      <c r="I1058">
        <v>1</v>
      </c>
      <c r="J1058" t="s">
        <v>90</v>
      </c>
      <c r="K1058" s="1">
        <v>45197</v>
      </c>
      <c r="L1058">
        <v>584.20000000000005</v>
      </c>
      <c r="M1058">
        <v>78</v>
      </c>
    </row>
    <row r="1059" spans="1:25" hidden="1" x14ac:dyDescent="0.25">
      <c r="A1059" t="str">
        <f t="shared" si="16"/>
        <v>2023_WA_Northam_Chickpea_DetailedTOSTOS2VarietyHatTrickWaterTrtIrrigated</v>
      </c>
      <c r="B1059">
        <v>2023027</v>
      </c>
      <c r="C1059" t="s">
        <v>89</v>
      </c>
      <c r="D1059">
        <v>5</v>
      </c>
      <c r="E1059" t="s">
        <v>33</v>
      </c>
      <c r="F1059" t="s">
        <v>124</v>
      </c>
      <c r="G1059" t="s">
        <v>27</v>
      </c>
      <c r="I1059">
        <v>2</v>
      </c>
      <c r="J1059" t="s">
        <v>91</v>
      </c>
      <c r="K1059" s="1">
        <v>45211</v>
      </c>
      <c r="L1059">
        <v>467</v>
      </c>
      <c r="M1059">
        <v>52</v>
      </c>
    </row>
    <row r="1060" spans="1:25" hidden="1" x14ac:dyDescent="0.25">
      <c r="A1060" t="str">
        <f t="shared" si="16"/>
        <v>2023_WA_Northam_Chickpea_DetailedTOSTOS1VarietyHatTrickWaterTrtRainFed</v>
      </c>
      <c r="B1060">
        <v>2023027</v>
      </c>
      <c r="C1060" t="s">
        <v>89</v>
      </c>
      <c r="D1060">
        <v>5</v>
      </c>
      <c r="E1060" t="s">
        <v>33</v>
      </c>
      <c r="F1060" t="s">
        <v>124</v>
      </c>
      <c r="G1060" t="s">
        <v>30</v>
      </c>
      <c r="I1060">
        <v>1</v>
      </c>
      <c r="J1060" t="s">
        <v>90</v>
      </c>
      <c r="K1060" s="1">
        <v>45197</v>
      </c>
      <c r="L1060">
        <v>485</v>
      </c>
      <c r="M1060">
        <v>62</v>
      </c>
    </row>
    <row r="1061" spans="1:25" hidden="1" x14ac:dyDescent="0.25">
      <c r="A1061" t="str">
        <f t="shared" si="16"/>
        <v>2023_WA_Northam_Chickpea_DetailedTOSTOS2VarietyHatTrickWaterTrtRainFed</v>
      </c>
      <c r="B1061">
        <v>2023027</v>
      </c>
      <c r="C1061" t="s">
        <v>89</v>
      </c>
      <c r="D1061">
        <v>5</v>
      </c>
      <c r="E1061" t="s">
        <v>33</v>
      </c>
      <c r="F1061" t="s">
        <v>124</v>
      </c>
      <c r="G1061" t="s">
        <v>30</v>
      </c>
      <c r="I1061">
        <v>2</v>
      </c>
      <c r="J1061" t="s">
        <v>91</v>
      </c>
      <c r="K1061" s="1">
        <v>45211</v>
      </c>
      <c r="L1061">
        <v>433.1</v>
      </c>
      <c r="M1061">
        <v>52</v>
      </c>
    </row>
    <row r="1062" spans="1:25" hidden="1" x14ac:dyDescent="0.25">
      <c r="A1062" t="str">
        <f t="shared" si="16"/>
        <v>2023_WA_Northam_Chickpea_DetailedTOSTOS1VarietyStrikerWaterTrtIrrigated</v>
      </c>
      <c r="B1062">
        <v>2023027</v>
      </c>
      <c r="C1062" t="s">
        <v>89</v>
      </c>
      <c r="D1062">
        <v>5</v>
      </c>
      <c r="E1062" t="s">
        <v>33</v>
      </c>
      <c r="F1062" t="s">
        <v>125</v>
      </c>
      <c r="G1062" t="s">
        <v>27</v>
      </c>
      <c r="I1062">
        <v>1</v>
      </c>
      <c r="J1062" t="s">
        <v>90</v>
      </c>
      <c r="K1062" s="1">
        <v>45198</v>
      </c>
      <c r="L1062">
        <v>620.20000000000005</v>
      </c>
      <c r="M1062">
        <v>78</v>
      </c>
    </row>
    <row r="1063" spans="1:25" hidden="1" x14ac:dyDescent="0.25">
      <c r="A1063" t="str">
        <f t="shared" si="16"/>
        <v>2023_WA_Northam_Chickpea_DetailedTOSTOS2VarietyStrikerWaterTrtIrrigated</v>
      </c>
      <c r="B1063">
        <v>2023027</v>
      </c>
      <c r="C1063" t="s">
        <v>89</v>
      </c>
      <c r="D1063">
        <v>5</v>
      </c>
      <c r="E1063" t="s">
        <v>33</v>
      </c>
      <c r="F1063" t="s">
        <v>125</v>
      </c>
      <c r="G1063" t="s">
        <v>27</v>
      </c>
      <c r="I1063">
        <v>2</v>
      </c>
      <c r="J1063" t="s">
        <v>91</v>
      </c>
      <c r="K1063" s="1">
        <v>45209</v>
      </c>
      <c r="L1063">
        <v>576</v>
      </c>
      <c r="M1063">
        <v>52</v>
      </c>
    </row>
    <row r="1064" spans="1:25" hidden="1" x14ac:dyDescent="0.25">
      <c r="A1064" t="str">
        <f t="shared" si="16"/>
        <v>2023_WA_Northam_Chickpea_DetailedTOSTOS1VarietyStrikerWaterTrtRainFed</v>
      </c>
      <c r="B1064">
        <v>2023027</v>
      </c>
      <c r="C1064" t="s">
        <v>89</v>
      </c>
      <c r="D1064">
        <v>5</v>
      </c>
      <c r="E1064" t="s">
        <v>33</v>
      </c>
      <c r="F1064" t="s">
        <v>125</v>
      </c>
      <c r="G1064" t="s">
        <v>30</v>
      </c>
      <c r="I1064">
        <v>1</v>
      </c>
      <c r="J1064" t="s">
        <v>90</v>
      </c>
      <c r="K1064" s="1">
        <v>45198</v>
      </c>
      <c r="L1064">
        <v>405</v>
      </c>
      <c r="M1064">
        <v>60</v>
      </c>
    </row>
    <row r="1065" spans="1:25" hidden="1" x14ac:dyDescent="0.25">
      <c r="A1065" t="str">
        <f t="shared" si="16"/>
        <v>2023_WA_Northam_Chickpea_DetailedTOSTOS2VarietyStrikerWaterTrtRainFed</v>
      </c>
      <c r="B1065">
        <v>2023027</v>
      </c>
      <c r="C1065" t="s">
        <v>89</v>
      </c>
      <c r="D1065">
        <v>5</v>
      </c>
      <c r="E1065" t="s">
        <v>33</v>
      </c>
      <c r="F1065" t="s">
        <v>125</v>
      </c>
      <c r="G1065" t="s">
        <v>30</v>
      </c>
      <c r="I1065">
        <v>2</v>
      </c>
      <c r="J1065" t="s">
        <v>91</v>
      </c>
      <c r="K1065" s="1">
        <v>45209</v>
      </c>
      <c r="L1065">
        <v>393.6</v>
      </c>
      <c r="M1065">
        <v>52</v>
      </c>
    </row>
    <row r="1066" spans="1:25" hidden="1" x14ac:dyDescent="0.25">
      <c r="A1066" t="str">
        <f t="shared" si="16"/>
        <v>2023_WA_Northam_Chickpea_DetailedTOSTOS1VarietyCBA_CaptainWaterTrtIrrigated</v>
      </c>
      <c r="B1066">
        <v>2023027</v>
      </c>
      <c r="C1066" t="s">
        <v>89</v>
      </c>
      <c r="D1066">
        <v>6</v>
      </c>
      <c r="E1066" t="s">
        <v>34</v>
      </c>
      <c r="F1066" t="s">
        <v>26</v>
      </c>
      <c r="G1066" t="s">
        <v>27</v>
      </c>
      <c r="I1066">
        <v>1</v>
      </c>
      <c r="J1066" t="s">
        <v>90</v>
      </c>
      <c r="K1066" s="1">
        <v>45225</v>
      </c>
      <c r="L1066">
        <v>679.2</v>
      </c>
      <c r="M1066">
        <v>68</v>
      </c>
      <c r="N1066">
        <v>0.374</v>
      </c>
      <c r="O1066">
        <v>1.2999999999999999E-2</v>
      </c>
      <c r="P1066">
        <v>824</v>
      </c>
      <c r="Q1066">
        <v>130</v>
      </c>
      <c r="T1066">
        <v>1289</v>
      </c>
      <c r="U1066">
        <v>150</v>
      </c>
      <c r="V1066">
        <v>276.88333333333202</v>
      </c>
      <c r="W1066">
        <v>23.916249612118101</v>
      </c>
      <c r="X1066">
        <v>250</v>
      </c>
      <c r="Y1066">
        <v>26</v>
      </c>
    </row>
    <row r="1067" spans="1:25" hidden="1" x14ac:dyDescent="0.25">
      <c r="A1067" t="str">
        <f t="shared" si="16"/>
        <v>2023_WA_Northam_Chickpea_DetailedTOSTOS2VarietyCBA_CaptainWaterTrtIrrigated</v>
      </c>
      <c r="B1067">
        <v>2023027</v>
      </c>
      <c r="C1067" t="s">
        <v>89</v>
      </c>
      <c r="D1067">
        <v>6</v>
      </c>
      <c r="E1067" t="s">
        <v>34</v>
      </c>
      <c r="F1067" t="s">
        <v>26</v>
      </c>
      <c r="G1067" t="s">
        <v>27</v>
      </c>
      <c r="I1067">
        <v>2</v>
      </c>
      <c r="J1067" t="s">
        <v>91</v>
      </c>
      <c r="K1067" s="1">
        <v>45230</v>
      </c>
      <c r="L1067">
        <v>558.4</v>
      </c>
      <c r="M1067">
        <v>68</v>
      </c>
      <c r="N1067">
        <v>0.37</v>
      </c>
      <c r="O1067">
        <v>2.1000000000000001E-2</v>
      </c>
      <c r="P1067">
        <v>511</v>
      </c>
      <c r="Q1067">
        <v>130</v>
      </c>
      <c r="T1067">
        <v>756</v>
      </c>
      <c r="U1067">
        <v>150</v>
      </c>
      <c r="V1067">
        <v>333.08999999999901</v>
      </c>
      <c r="W1067">
        <v>23.916249612118101</v>
      </c>
      <c r="X1067">
        <v>203</v>
      </c>
      <c r="Y1067">
        <v>26</v>
      </c>
    </row>
    <row r="1068" spans="1:25" hidden="1" x14ac:dyDescent="0.25">
      <c r="A1068" t="str">
        <f t="shared" si="16"/>
        <v>2023_WA_Northam_Chickpea_DetailedTOSTOS1VarietyCBA_CaptainWaterTrtRainFed</v>
      </c>
      <c r="B1068">
        <v>2023027</v>
      </c>
      <c r="C1068" t="s">
        <v>89</v>
      </c>
      <c r="D1068">
        <v>6</v>
      </c>
      <c r="E1068" t="s">
        <v>34</v>
      </c>
      <c r="F1068" t="s">
        <v>26</v>
      </c>
      <c r="G1068" t="s">
        <v>30</v>
      </c>
      <c r="I1068">
        <v>1</v>
      </c>
      <c r="J1068" t="s">
        <v>90</v>
      </c>
      <c r="K1068" s="1">
        <v>45225</v>
      </c>
      <c r="L1068">
        <v>518.70000000000005</v>
      </c>
      <c r="M1068">
        <v>68</v>
      </c>
      <c r="N1068">
        <v>0.38700000000000001</v>
      </c>
      <c r="O1068">
        <v>1.2999999999999999E-2</v>
      </c>
      <c r="P1068">
        <v>639</v>
      </c>
      <c r="Q1068">
        <v>84</v>
      </c>
      <c r="T1068">
        <v>1004</v>
      </c>
      <c r="U1068">
        <v>150</v>
      </c>
      <c r="V1068">
        <v>259.41999999999899</v>
      </c>
      <c r="W1068">
        <v>21.0570509494048</v>
      </c>
      <c r="X1068">
        <v>206</v>
      </c>
      <c r="Y1068">
        <v>26</v>
      </c>
    </row>
    <row r="1069" spans="1:25" hidden="1" x14ac:dyDescent="0.25">
      <c r="A1069" t="str">
        <f t="shared" si="16"/>
        <v>2023_WA_Northam_Chickpea_DetailedTOSTOS2VarietyCBA_CaptainWaterTrtRainFed</v>
      </c>
      <c r="B1069">
        <v>2023027</v>
      </c>
      <c r="C1069" t="s">
        <v>89</v>
      </c>
      <c r="D1069">
        <v>6</v>
      </c>
      <c r="E1069" t="s">
        <v>34</v>
      </c>
      <c r="F1069" t="s">
        <v>26</v>
      </c>
      <c r="G1069" t="s">
        <v>30</v>
      </c>
      <c r="I1069">
        <v>2</v>
      </c>
      <c r="J1069" t="s">
        <v>91</v>
      </c>
      <c r="K1069" s="1">
        <v>45230</v>
      </c>
      <c r="L1069">
        <v>447.2</v>
      </c>
      <c r="M1069">
        <v>68</v>
      </c>
      <c r="N1069">
        <v>0.35899999999999999</v>
      </c>
      <c r="O1069">
        <v>2.1000000000000001E-2</v>
      </c>
      <c r="P1069">
        <v>467</v>
      </c>
      <c r="Q1069">
        <v>84</v>
      </c>
      <c r="T1069">
        <v>600</v>
      </c>
      <c r="U1069">
        <v>150</v>
      </c>
      <c r="V1069">
        <v>323.83</v>
      </c>
      <c r="W1069">
        <v>21.0570509494049</v>
      </c>
      <c r="X1069">
        <v>166</v>
      </c>
      <c r="Y1069">
        <v>26</v>
      </c>
    </row>
    <row r="1070" spans="1:25" hidden="1" x14ac:dyDescent="0.25">
      <c r="A1070" t="str">
        <f t="shared" si="16"/>
        <v>2023_WA_Northam_Chickpea_DetailedTOSTOS1VarietyDrummondWaterTrtIrrigated</v>
      </c>
      <c r="B1070">
        <v>2023027</v>
      </c>
      <c r="C1070" t="s">
        <v>89</v>
      </c>
      <c r="D1070">
        <v>6</v>
      </c>
      <c r="E1070" t="s">
        <v>34</v>
      </c>
      <c r="F1070" t="s">
        <v>123</v>
      </c>
      <c r="G1070" t="s">
        <v>27</v>
      </c>
      <c r="I1070">
        <v>1</v>
      </c>
      <c r="J1070" t="s">
        <v>90</v>
      </c>
      <c r="K1070" s="1">
        <v>45225</v>
      </c>
      <c r="L1070">
        <v>773.8</v>
      </c>
      <c r="M1070">
        <v>68</v>
      </c>
      <c r="N1070">
        <v>0.377</v>
      </c>
      <c r="O1070">
        <v>1.2999999999999999E-2</v>
      </c>
      <c r="P1070">
        <v>875</v>
      </c>
      <c r="Q1070">
        <v>130</v>
      </c>
      <c r="T1070">
        <v>1500</v>
      </c>
      <c r="U1070">
        <v>150</v>
      </c>
      <c r="V1070">
        <v>275.98666666666702</v>
      </c>
      <c r="W1070">
        <v>23.9162496121182</v>
      </c>
      <c r="X1070">
        <v>287</v>
      </c>
      <c r="Y1070">
        <v>26</v>
      </c>
    </row>
    <row r="1071" spans="1:25" hidden="1" x14ac:dyDescent="0.25">
      <c r="A1071" t="str">
        <f t="shared" si="16"/>
        <v>2023_WA_Northam_Chickpea_DetailedTOSTOS2VarietyDrummondWaterTrtIrrigated</v>
      </c>
      <c r="B1071">
        <v>2023027</v>
      </c>
      <c r="C1071" t="s">
        <v>89</v>
      </c>
      <c r="D1071">
        <v>6</v>
      </c>
      <c r="E1071" t="s">
        <v>34</v>
      </c>
      <c r="F1071" t="s">
        <v>123</v>
      </c>
      <c r="G1071" t="s">
        <v>27</v>
      </c>
      <c r="I1071">
        <v>2</v>
      </c>
      <c r="J1071" t="s">
        <v>91</v>
      </c>
      <c r="K1071" s="1">
        <v>45230</v>
      </c>
      <c r="L1071">
        <v>690</v>
      </c>
      <c r="M1071">
        <v>68</v>
      </c>
      <c r="N1071">
        <v>0.39400000000000002</v>
      </c>
      <c r="O1071">
        <v>2.1000000000000001E-2</v>
      </c>
      <c r="P1071">
        <v>860</v>
      </c>
      <c r="Q1071">
        <v>130</v>
      </c>
      <c r="T1071">
        <v>1086</v>
      </c>
      <c r="U1071">
        <v>150</v>
      </c>
      <c r="V1071">
        <v>337.81</v>
      </c>
      <c r="W1071">
        <v>23.9162496121182</v>
      </c>
      <c r="X1071">
        <v>267</v>
      </c>
      <c r="Y1071">
        <v>26</v>
      </c>
    </row>
    <row r="1072" spans="1:25" hidden="1" x14ac:dyDescent="0.25">
      <c r="A1072" t="str">
        <f t="shared" si="16"/>
        <v>2023_WA_Northam_Chickpea_DetailedTOSTOS1VarietyDrummondWaterTrtRainFed</v>
      </c>
      <c r="B1072">
        <v>2023027</v>
      </c>
      <c r="C1072" t="s">
        <v>89</v>
      </c>
      <c r="D1072">
        <v>6</v>
      </c>
      <c r="E1072" t="s">
        <v>34</v>
      </c>
      <c r="F1072" t="s">
        <v>123</v>
      </c>
      <c r="G1072" t="s">
        <v>30</v>
      </c>
      <c r="I1072">
        <v>1</v>
      </c>
      <c r="J1072" t="s">
        <v>90</v>
      </c>
      <c r="K1072" s="1">
        <v>45225</v>
      </c>
      <c r="L1072">
        <v>832.3</v>
      </c>
      <c r="M1072">
        <v>83</v>
      </c>
      <c r="N1072">
        <v>0.35599999999999998</v>
      </c>
      <c r="O1072">
        <v>1.4999999999999999E-2</v>
      </c>
      <c r="P1072">
        <v>578</v>
      </c>
      <c r="Q1072">
        <v>92</v>
      </c>
      <c r="T1072">
        <v>862</v>
      </c>
      <c r="U1072">
        <v>180</v>
      </c>
      <c r="V1072">
        <v>302.05250316010898</v>
      </c>
      <c r="W1072">
        <v>25.7720979713418</v>
      </c>
      <c r="X1072">
        <v>189</v>
      </c>
      <c r="Y1072">
        <v>29</v>
      </c>
    </row>
    <row r="1073" spans="1:25" hidden="1" x14ac:dyDescent="0.25">
      <c r="A1073" t="str">
        <f t="shared" si="16"/>
        <v>2023_WA_Northam_Chickpea_DetailedTOSTOS2VarietyDrummondWaterTrtRainFed</v>
      </c>
      <c r="B1073">
        <v>2023027</v>
      </c>
      <c r="C1073" t="s">
        <v>89</v>
      </c>
      <c r="D1073">
        <v>6</v>
      </c>
      <c r="E1073" t="s">
        <v>34</v>
      </c>
      <c r="F1073" t="s">
        <v>123</v>
      </c>
      <c r="G1073" t="s">
        <v>30</v>
      </c>
      <c r="I1073">
        <v>2</v>
      </c>
      <c r="J1073" t="s">
        <v>91</v>
      </c>
      <c r="K1073" s="1">
        <v>45230</v>
      </c>
      <c r="L1073">
        <v>595.6</v>
      </c>
      <c r="M1073">
        <v>68</v>
      </c>
      <c r="N1073">
        <v>0.39</v>
      </c>
      <c r="O1073">
        <v>2.1000000000000001E-2</v>
      </c>
      <c r="P1073">
        <v>785</v>
      </c>
      <c r="Q1073">
        <v>84</v>
      </c>
      <c r="T1073">
        <v>1044</v>
      </c>
      <c r="U1073">
        <v>150</v>
      </c>
      <c r="V1073">
        <v>269.85000000000002</v>
      </c>
      <c r="W1073">
        <v>21.0570509494049</v>
      </c>
      <c r="X1073">
        <v>238</v>
      </c>
      <c r="Y1073">
        <v>26</v>
      </c>
    </row>
    <row r="1074" spans="1:25" hidden="1" x14ac:dyDescent="0.25">
      <c r="A1074" t="str">
        <f t="shared" si="16"/>
        <v>2023_WA_Northam_Chickpea_DetailedTOSTOS1VarietyHatTrickWaterTrtIrrigated</v>
      </c>
      <c r="B1074">
        <v>2023027</v>
      </c>
      <c r="C1074" t="s">
        <v>89</v>
      </c>
      <c r="D1074">
        <v>6</v>
      </c>
      <c r="E1074" t="s">
        <v>34</v>
      </c>
      <c r="F1074" t="s">
        <v>124</v>
      </c>
      <c r="G1074" t="s">
        <v>27</v>
      </c>
      <c r="I1074">
        <v>1</v>
      </c>
      <c r="J1074" t="s">
        <v>90</v>
      </c>
      <c r="K1074" s="1">
        <v>45225</v>
      </c>
      <c r="L1074">
        <v>716.3</v>
      </c>
      <c r="M1074">
        <v>68</v>
      </c>
      <c r="N1074">
        <v>0.35</v>
      </c>
      <c r="O1074">
        <v>1.2999999999999999E-2</v>
      </c>
      <c r="P1074">
        <v>1017</v>
      </c>
      <c r="Q1074">
        <v>130</v>
      </c>
      <c r="T1074">
        <v>993</v>
      </c>
      <c r="U1074">
        <v>150</v>
      </c>
      <c r="V1074">
        <v>256.68485970684901</v>
      </c>
      <c r="W1074">
        <v>29.278211203185101</v>
      </c>
      <c r="X1074">
        <v>256</v>
      </c>
      <c r="Y1074">
        <v>26</v>
      </c>
    </row>
    <row r="1075" spans="1:25" hidden="1" x14ac:dyDescent="0.25">
      <c r="A1075" t="str">
        <f t="shared" si="16"/>
        <v>2023_WA_Northam_Chickpea_DetailedTOSTOS2VarietyHatTrickWaterTrtIrrigated</v>
      </c>
      <c r="B1075">
        <v>2023027</v>
      </c>
      <c r="C1075" t="s">
        <v>89</v>
      </c>
      <c r="D1075">
        <v>6</v>
      </c>
      <c r="E1075" t="s">
        <v>34</v>
      </c>
      <c r="F1075" t="s">
        <v>124</v>
      </c>
      <c r="G1075" t="s">
        <v>27</v>
      </c>
      <c r="I1075">
        <v>2</v>
      </c>
      <c r="J1075" t="s">
        <v>91</v>
      </c>
      <c r="K1075" s="1">
        <v>45230</v>
      </c>
      <c r="L1075">
        <v>548.9</v>
      </c>
      <c r="M1075">
        <v>68</v>
      </c>
      <c r="N1075">
        <v>0.34200000000000003</v>
      </c>
      <c r="O1075">
        <v>2.1000000000000001E-2</v>
      </c>
      <c r="P1075">
        <v>998</v>
      </c>
      <c r="Q1075">
        <v>130</v>
      </c>
      <c r="T1075">
        <v>975</v>
      </c>
      <c r="U1075">
        <v>150</v>
      </c>
      <c r="V1075">
        <v>270.94333333333401</v>
      </c>
      <c r="W1075">
        <v>23.9162496121182</v>
      </c>
      <c r="X1075">
        <v>203</v>
      </c>
      <c r="Y1075">
        <v>26</v>
      </c>
    </row>
    <row r="1076" spans="1:25" hidden="1" x14ac:dyDescent="0.25">
      <c r="A1076" t="str">
        <f t="shared" si="16"/>
        <v>2023_WA_Northam_Chickpea_DetailedTOSTOS1VarietyHatTrickWaterTrtRainFed</v>
      </c>
      <c r="B1076">
        <v>2023027</v>
      </c>
      <c r="C1076" t="s">
        <v>89</v>
      </c>
      <c r="D1076">
        <v>6</v>
      </c>
      <c r="E1076" t="s">
        <v>34</v>
      </c>
      <c r="F1076" t="s">
        <v>124</v>
      </c>
      <c r="G1076" t="s">
        <v>30</v>
      </c>
      <c r="I1076">
        <v>1</v>
      </c>
      <c r="J1076" t="s">
        <v>90</v>
      </c>
      <c r="K1076" s="1">
        <v>45225</v>
      </c>
      <c r="L1076">
        <v>707.7</v>
      </c>
      <c r="M1076">
        <v>83</v>
      </c>
      <c r="N1076">
        <v>0.36299999999999999</v>
      </c>
      <c r="O1076">
        <v>1.4999999999999999E-2</v>
      </c>
      <c r="P1076">
        <v>957</v>
      </c>
      <c r="Q1076">
        <v>94</v>
      </c>
      <c r="T1076">
        <v>1390</v>
      </c>
      <c r="U1076">
        <v>180</v>
      </c>
      <c r="V1076">
        <v>274.01908437116202</v>
      </c>
      <c r="W1076">
        <v>25.772097971341701</v>
      </c>
      <c r="X1076">
        <v>242</v>
      </c>
      <c r="Y1076">
        <v>29</v>
      </c>
    </row>
    <row r="1077" spans="1:25" hidden="1" x14ac:dyDescent="0.25">
      <c r="A1077" t="str">
        <f t="shared" si="16"/>
        <v>2023_WA_Northam_Chickpea_DetailedTOSTOS2VarietyHatTrickWaterTrtRainFed</v>
      </c>
      <c r="B1077">
        <v>2023027</v>
      </c>
      <c r="C1077" t="s">
        <v>89</v>
      </c>
      <c r="D1077">
        <v>6</v>
      </c>
      <c r="E1077" t="s">
        <v>34</v>
      </c>
      <c r="F1077" t="s">
        <v>124</v>
      </c>
      <c r="G1077" t="s">
        <v>30</v>
      </c>
      <c r="I1077">
        <v>2</v>
      </c>
      <c r="J1077" t="s">
        <v>91</v>
      </c>
      <c r="K1077" s="1">
        <v>45230</v>
      </c>
      <c r="L1077">
        <v>582.20000000000005</v>
      </c>
      <c r="M1077">
        <v>68</v>
      </c>
      <c r="N1077">
        <v>0.34599999999999997</v>
      </c>
      <c r="O1077">
        <v>2.1000000000000001E-2</v>
      </c>
      <c r="P1077">
        <v>772</v>
      </c>
      <c r="Q1077">
        <v>86</v>
      </c>
      <c r="T1077">
        <v>826</v>
      </c>
      <c r="U1077">
        <v>150</v>
      </c>
      <c r="V1077">
        <v>328.26666666666699</v>
      </c>
      <c r="W1077">
        <v>21.0570509494049</v>
      </c>
      <c r="X1077">
        <v>187</v>
      </c>
      <c r="Y1077">
        <v>26</v>
      </c>
    </row>
    <row r="1078" spans="1:25" hidden="1" x14ac:dyDescent="0.25">
      <c r="A1078" t="str">
        <f t="shared" si="16"/>
        <v>2023_WA_Northam_Chickpea_DetailedTOSTOS1VarietyStrikerWaterTrtIrrigated</v>
      </c>
      <c r="B1078">
        <v>2023027</v>
      </c>
      <c r="C1078" t="s">
        <v>89</v>
      </c>
      <c r="D1078">
        <v>6</v>
      </c>
      <c r="E1078" t="s">
        <v>34</v>
      </c>
      <c r="F1078" t="s">
        <v>125</v>
      </c>
      <c r="G1078" t="s">
        <v>27</v>
      </c>
      <c r="I1078">
        <v>1</v>
      </c>
      <c r="J1078" t="s">
        <v>90</v>
      </c>
      <c r="K1078" s="1">
        <v>45225</v>
      </c>
      <c r="L1078">
        <v>704.3</v>
      </c>
      <c r="M1078">
        <v>68</v>
      </c>
      <c r="N1078">
        <v>0.38900000000000001</v>
      </c>
      <c r="O1078">
        <v>1.2999999999999999E-2</v>
      </c>
      <c r="P1078">
        <v>799</v>
      </c>
      <c r="Q1078">
        <v>130</v>
      </c>
      <c r="T1078">
        <v>1080</v>
      </c>
      <c r="U1078">
        <v>150</v>
      </c>
      <c r="V1078">
        <v>307.65333333333302</v>
      </c>
      <c r="W1078">
        <v>23.9162496121182</v>
      </c>
      <c r="X1078">
        <v>279</v>
      </c>
      <c r="Y1078">
        <v>26</v>
      </c>
    </row>
    <row r="1079" spans="1:25" hidden="1" x14ac:dyDescent="0.25">
      <c r="A1079" t="str">
        <f t="shared" si="16"/>
        <v>2023_WA_Northam_Chickpea_DetailedTOSTOS2VarietyStrikerWaterTrtIrrigated</v>
      </c>
      <c r="B1079">
        <v>2023027</v>
      </c>
      <c r="C1079" t="s">
        <v>89</v>
      </c>
      <c r="D1079">
        <v>6</v>
      </c>
      <c r="E1079" t="s">
        <v>34</v>
      </c>
      <c r="F1079" t="s">
        <v>125</v>
      </c>
      <c r="G1079" t="s">
        <v>27</v>
      </c>
      <c r="I1079">
        <v>2</v>
      </c>
      <c r="J1079" t="s">
        <v>91</v>
      </c>
      <c r="K1079" s="1">
        <v>45230</v>
      </c>
      <c r="L1079">
        <v>581.20000000000005</v>
      </c>
      <c r="M1079">
        <v>68</v>
      </c>
      <c r="N1079">
        <v>0.38300000000000001</v>
      </c>
      <c r="O1079">
        <v>2.1000000000000001E-2</v>
      </c>
      <c r="P1079">
        <v>683</v>
      </c>
      <c r="Q1079">
        <v>130</v>
      </c>
      <c r="T1079">
        <v>919</v>
      </c>
      <c r="U1079">
        <v>150</v>
      </c>
      <c r="V1079">
        <v>295.35333333333398</v>
      </c>
      <c r="W1079">
        <v>23.9162496121182</v>
      </c>
      <c r="X1079">
        <v>218</v>
      </c>
      <c r="Y1079">
        <v>26</v>
      </c>
    </row>
    <row r="1080" spans="1:25" hidden="1" x14ac:dyDescent="0.25">
      <c r="A1080" t="str">
        <f t="shared" si="16"/>
        <v>2023_WA_Northam_Chickpea_DetailedTOSTOS1VarietyStrikerWaterTrtRainFed</v>
      </c>
      <c r="B1080">
        <v>2023027</v>
      </c>
      <c r="C1080" t="s">
        <v>89</v>
      </c>
      <c r="D1080">
        <v>6</v>
      </c>
      <c r="E1080" t="s">
        <v>34</v>
      </c>
      <c r="F1080" t="s">
        <v>125</v>
      </c>
      <c r="G1080" t="s">
        <v>30</v>
      </c>
      <c r="I1080">
        <v>1</v>
      </c>
      <c r="J1080" t="s">
        <v>90</v>
      </c>
      <c r="K1080" s="1">
        <v>45225</v>
      </c>
      <c r="L1080">
        <v>642.4</v>
      </c>
      <c r="M1080">
        <v>68</v>
      </c>
      <c r="N1080">
        <v>0.38800000000000001</v>
      </c>
      <c r="O1080">
        <v>1.2999999999999999E-2</v>
      </c>
      <c r="P1080">
        <v>961</v>
      </c>
      <c r="Q1080">
        <v>84</v>
      </c>
      <c r="T1080">
        <v>1313</v>
      </c>
      <c r="U1080">
        <v>150</v>
      </c>
      <c r="V1080">
        <v>259.14999999999998</v>
      </c>
      <c r="W1080">
        <v>21.0570509494049</v>
      </c>
      <c r="X1080">
        <v>245</v>
      </c>
      <c r="Y1080">
        <v>26</v>
      </c>
    </row>
    <row r="1081" spans="1:25" hidden="1" x14ac:dyDescent="0.25">
      <c r="A1081" t="str">
        <f t="shared" si="16"/>
        <v>2023_WA_Northam_Chickpea_DetailedTOSTOS2VarietyStrikerWaterTrtRainFed</v>
      </c>
      <c r="B1081">
        <v>2023027</v>
      </c>
      <c r="C1081" t="s">
        <v>89</v>
      </c>
      <c r="D1081">
        <v>6</v>
      </c>
      <c r="E1081" t="s">
        <v>34</v>
      </c>
      <c r="F1081" t="s">
        <v>125</v>
      </c>
      <c r="G1081" t="s">
        <v>30</v>
      </c>
      <c r="I1081">
        <v>2</v>
      </c>
      <c r="J1081" t="s">
        <v>91</v>
      </c>
      <c r="K1081" s="1">
        <v>45230</v>
      </c>
      <c r="L1081">
        <v>447.7</v>
      </c>
      <c r="M1081">
        <v>68</v>
      </c>
      <c r="N1081">
        <v>0.42599999999999999</v>
      </c>
      <c r="O1081">
        <v>2.1000000000000001E-2</v>
      </c>
      <c r="P1081">
        <v>604</v>
      </c>
      <c r="Q1081">
        <v>84</v>
      </c>
      <c r="T1081">
        <v>657</v>
      </c>
      <c r="U1081">
        <v>150</v>
      </c>
      <c r="V1081">
        <v>332.97666666666601</v>
      </c>
      <c r="W1081">
        <v>21.0570509494049</v>
      </c>
      <c r="X1081">
        <v>197</v>
      </c>
      <c r="Y1081">
        <v>26</v>
      </c>
    </row>
    <row r="1082" spans="1:25" hidden="1" x14ac:dyDescent="0.25">
      <c r="A1082" t="str">
        <f t="shared" si="16"/>
        <v>2023_NSW_RankinsSprings_Fababean_SatelliteTOSTOS1VarietyAmberleyWaterTrtRainFed</v>
      </c>
      <c r="B1082">
        <v>2023028</v>
      </c>
      <c r="C1082" t="s">
        <v>92</v>
      </c>
      <c r="D1082">
        <v>6</v>
      </c>
      <c r="E1082" t="s">
        <v>34</v>
      </c>
      <c r="F1082" t="s">
        <v>126</v>
      </c>
      <c r="G1082" t="s">
        <v>30</v>
      </c>
      <c r="I1082">
        <v>1</v>
      </c>
      <c r="J1082" t="s">
        <v>93</v>
      </c>
      <c r="K1082" s="1">
        <v>45218</v>
      </c>
      <c r="L1082">
        <v>553.70000000000005</v>
      </c>
      <c r="M1082">
        <v>30</v>
      </c>
      <c r="N1082">
        <v>0.3</v>
      </c>
      <c r="O1082">
        <v>1.9E-2</v>
      </c>
      <c r="R1082">
        <v>26.2</v>
      </c>
      <c r="S1082">
        <v>1.6</v>
      </c>
      <c r="T1082">
        <v>304.89999999999998</v>
      </c>
      <c r="U1082">
        <v>31</v>
      </c>
      <c r="V1082">
        <v>543.70000000000005</v>
      </c>
      <c r="W1082">
        <v>8</v>
      </c>
      <c r="X1082">
        <v>166</v>
      </c>
      <c r="Y1082">
        <v>16</v>
      </c>
    </row>
    <row r="1083" spans="1:25" hidden="1" x14ac:dyDescent="0.25">
      <c r="A1083" t="str">
        <f t="shared" si="16"/>
        <v>2023_NSW_RankinsSprings_Fababean_SatelliteTOSTOS2VarietyAmberleyWaterTrtRainFed</v>
      </c>
      <c r="B1083">
        <v>2023028</v>
      </c>
      <c r="C1083" t="s">
        <v>92</v>
      </c>
      <c r="D1083">
        <v>6</v>
      </c>
      <c r="E1083" t="s">
        <v>34</v>
      </c>
      <c r="F1083" t="s">
        <v>126</v>
      </c>
      <c r="G1083" t="s">
        <v>30</v>
      </c>
      <c r="I1083">
        <v>2</v>
      </c>
      <c r="J1083" t="s">
        <v>94</v>
      </c>
      <c r="K1083" s="1">
        <v>45229</v>
      </c>
      <c r="L1083">
        <v>345.8</v>
      </c>
      <c r="M1083">
        <v>30</v>
      </c>
      <c r="N1083">
        <v>0.3</v>
      </c>
      <c r="O1083">
        <v>1.9E-2</v>
      </c>
      <c r="R1083">
        <v>29.2</v>
      </c>
      <c r="S1083">
        <v>1.6</v>
      </c>
      <c r="T1083">
        <v>203.3</v>
      </c>
      <c r="U1083">
        <v>17</v>
      </c>
      <c r="V1083">
        <v>473.2</v>
      </c>
      <c r="W1083">
        <v>8</v>
      </c>
      <c r="X1083">
        <v>96</v>
      </c>
      <c r="Y1083">
        <v>7.7</v>
      </c>
    </row>
    <row r="1084" spans="1:25" hidden="1" x14ac:dyDescent="0.25">
      <c r="A1084" t="str">
        <f t="shared" si="16"/>
        <v>2023_NSW_RankinsSprings_Fababean_SatelliteTOSTOS1VarietyAylaWaterTrtRainFed</v>
      </c>
      <c r="B1084">
        <v>2023028</v>
      </c>
      <c r="C1084" t="s">
        <v>92</v>
      </c>
      <c r="D1084">
        <v>6</v>
      </c>
      <c r="E1084" t="s">
        <v>34</v>
      </c>
      <c r="F1084" t="s">
        <v>141</v>
      </c>
      <c r="G1084" t="s">
        <v>30</v>
      </c>
      <c r="I1084">
        <v>1</v>
      </c>
      <c r="J1084" t="s">
        <v>93</v>
      </c>
      <c r="K1084" s="1">
        <v>45218</v>
      </c>
      <c r="L1084">
        <v>525.79999999999995</v>
      </c>
      <c r="M1084">
        <v>30</v>
      </c>
      <c r="N1084">
        <v>0.4</v>
      </c>
      <c r="O1084">
        <v>1.9E-2</v>
      </c>
      <c r="R1084">
        <v>24.2</v>
      </c>
      <c r="S1084">
        <v>1.6</v>
      </c>
      <c r="T1084">
        <v>436.8</v>
      </c>
      <c r="U1084">
        <v>31</v>
      </c>
      <c r="V1084">
        <v>465.7</v>
      </c>
      <c r="W1084">
        <v>8</v>
      </c>
      <c r="X1084">
        <v>203</v>
      </c>
      <c r="Y1084">
        <v>16</v>
      </c>
    </row>
    <row r="1085" spans="1:25" hidden="1" x14ac:dyDescent="0.25">
      <c r="A1085" t="str">
        <f t="shared" si="16"/>
        <v>2023_NSW_RankinsSprings_Fababean_SatelliteTOSTOS2VarietyAylaWaterTrtRainFed</v>
      </c>
      <c r="B1085">
        <v>2023028</v>
      </c>
      <c r="C1085" t="s">
        <v>92</v>
      </c>
      <c r="D1085">
        <v>6</v>
      </c>
      <c r="E1085" t="s">
        <v>34</v>
      </c>
      <c r="F1085" t="s">
        <v>141</v>
      </c>
      <c r="G1085" t="s">
        <v>30</v>
      </c>
      <c r="I1085">
        <v>2</v>
      </c>
      <c r="J1085" t="s">
        <v>94</v>
      </c>
      <c r="K1085" s="1">
        <v>45229</v>
      </c>
      <c r="L1085">
        <v>349.6</v>
      </c>
      <c r="M1085">
        <v>30</v>
      </c>
      <c r="N1085">
        <v>0.4</v>
      </c>
      <c r="O1085">
        <v>1.9E-2</v>
      </c>
      <c r="R1085">
        <v>27.3</v>
      </c>
      <c r="S1085">
        <v>1.6</v>
      </c>
      <c r="T1085">
        <v>310.7</v>
      </c>
      <c r="U1085">
        <v>17</v>
      </c>
      <c r="V1085">
        <v>434.9</v>
      </c>
      <c r="W1085">
        <v>8</v>
      </c>
      <c r="X1085">
        <v>135</v>
      </c>
      <c r="Y1085">
        <v>7.7</v>
      </c>
    </row>
    <row r="1086" spans="1:25" hidden="1" x14ac:dyDescent="0.25">
      <c r="A1086" t="str">
        <f t="shared" si="16"/>
        <v>2023_NSW_RankinsSprings_Fababean_SatelliteTOSTOS1VarietyMarneWaterTrtRainFed</v>
      </c>
      <c r="B1086">
        <v>2023028</v>
      </c>
      <c r="C1086" t="s">
        <v>92</v>
      </c>
      <c r="D1086">
        <v>6</v>
      </c>
      <c r="E1086" t="s">
        <v>34</v>
      </c>
      <c r="F1086" t="s">
        <v>127</v>
      </c>
      <c r="G1086" t="s">
        <v>30</v>
      </c>
      <c r="I1086">
        <v>1</v>
      </c>
      <c r="J1086" t="s">
        <v>93</v>
      </c>
      <c r="K1086" s="1">
        <v>45218</v>
      </c>
      <c r="L1086">
        <v>551.29999999999995</v>
      </c>
      <c r="M1086">
        <v>30</v>
      </c>
      <c r="N1086">
        <v>0.4</v>
      </c>
      <c r="O1086">
        <v>1.9E-2</v>
      </c>
      <c r="R1086">
        <v>27.1</v>
      </c>
      <c r="S1086">
        <v>1.6</v>
      </c>
      <c r="T1086">
        <v>396.3</v>
      </c>
      <c r="U1086">
        <v>31</v>
      </c>
      <c r="V1086">
        <v>524</v>
      </c>
      <c r="W1086">
        <v>8</v>
      </c>
      <c r="X1086">
        <v>208</v>
      </c>
      <c r="Y1086">
        <v>16</v>
      </c>
    </row>
    <row r="1087" spans="1:25" hidden="1" x14ac:dyDescent="0.25">
      <c r="A1087" t="str">
        <f t="shared" si="16"/>
        <v>2023_NSW_RankinsSprings_Fababean_SatelliteTOSTOS2VarietyMarneWaterTrtRainFed</v>
      </c>
      <c r="B1087">
        <v>2023028</v>
      </c>
      <c r="C1087" t="s">
        <v>92</v>
      </c>
      <c r="D1087">
        <v>6</v>
      </c>
      <c r="E1087" t="s">
        <v>34</v>
      </c>
      <c r="F1087" t="s">
        <v>127</v>
      </c>
      <c r="G1087" t="s">
        <v>30</v>
      </c>
      <c r="I1087">
        <v>2</v>
      </c>
      <c r="J1087" t="s">
        <v>94</v>
      </c>
      <c r="K1087" s="1">
        <v>45229</v>
      </c>
      <c r="L1087">
        <v>345.8</v>
      </c>
      <c r="M1087">
        <v>30</v>
      </c>
      <c r="N1087">
        <v>0.4</v>
      </c>
      <c r="O1087">
        <v>1.9E-2</v>
      </c>
      <c r="R1087">
        <v>28</v>
      </c>
      <c r="S1087">
        <v>1.6</v>
      </c>
      <c r="T1087">
        <v>268.3</v>
      </c>
      <c r="U1087">
        <v>17</v>
      </c>
      <c r="V1087">
        <v>498.9</v>
      </c>
      <c r="W1087">
        <v>8</v>
      </c>
      <c r="X1087">
        <v>134</v>
      </c>
      <c r="Y1087">
        <v>7.7</v>
      </c>
    </row>
    <row r="1088" spans="1:25" hidden="1" x14ac:dyDescent="0.25">
      <c r="A1088" t="str">
        <f t="shared" si="16"/>
        <v>2023_NSW_RankinsSprings_Fababean_SatelliteTOSTOS1VarietyNanuWaterTrtRainFed</v>
      </c>
      <c r="B1088">
        <v>2023028</v>
      </c>
      <c r="C1088" t="s">
        <v>92</v>
      </c>
      <c r="D1088">
        <v>6</v>
      </c>
      <c r="E1088" t="s">
        <v>34</v>
      </c>
      <c r="F1088" t="s">
        <v>142</v>
      </c>
      <c r="G1088" t="s">
        <v>30</v>
      </c>
      <c r="I1088">
        <v>1</v>
      </c>
      <c r="J1088" t="s">
        <v>93</v>
      </c>
      <c r="K1088" s="1">
        <v>45218</v>
      </c>
      <c r="L1088">
        <v>618.29999999999995</v>
      </c>
      <c r="M1088">
        <v>30</v>
      </c>
      <c r="N1088">
        <v>0.4</v>
      </c>
      <c r="O1088">
        <v>1.9E-2</v>
      </c>
      <c r="R1088">
        <v>27.1</v>
      </c>
      <c r="S1088">
        <v>1.6</v>
      </c>
      <c r="T1088">
        <v>459.9</v>
      </c>
      <c r="U1088">
        <v>31</v>
      </c>
      <c r="V1088">
        <v>494.9</v>
      </c>
      <c r="W1088">
        <v>8</v>
      </c>
      <c r="X1088">
        <v>228</v>
      </c>
      <c r="Y1088">
        <v>16</v>
      </c>
    </row>
    <row r="1089" spans="1:25" hidden="1" x14ac:dyDescent="0.25">
      <c r="A1089" t="str">
        <f t="shared" si="16"/>
        <v>2023_NSW_RankinsSprings_Fababean_SatelliteTOSTOS2VarietyNanuWaterTrtRainFed</v>
      </c>
      <c r="B1089">
        <v>2023028</v>
      </c>
      <c r="C1089" t="s">
        <v>92</v>
      </c>
      <c r="D1089">
        <v>6</v>
      </c>
      <c r="E1089" t="s">
        <v>34</v>
      </c>
      <c r="F1089" t="s">
        <v>142</v>
      </c>
      <c r="G1089" t="s">
        <v>30</v>
      </c>
      <c r="I1089">
        <v>2</v>
      </c>
      <c r="J1089" t="s">
        <v>94</v>
      </c>
      <c r="K1089" s="1">
        <v>45229</v>
      </c>
      <c r="L1089">
        <v>301</v>
      </c>
      <c r="M1089">
        <v>30</v>
      </c>
      <c r="N1089">
        <v>0.4</v>
      </c>
      <c r="O1089">
        <v>1.9E-2</v>
      </c>
      <c r="R1089">
        <v>26.7</v>
      </c>
      <c r="S1089">
        <v>1.6</v>
      </c>
      <c r="T1089">
        <v>258.89999999999998</v>
      </c>
      <c r="U1089">
        <v>17</v>
      </c>
      <c r="V1089">
        <v>459</v>
      </c>
      <c r="W1089">
        <v>8</v>
      </c>
      <c r="X1089">
        <v>119</v>
      </c>
      <c r="Y1089">
        <v>7.7</v>
      </c>
    </row>
    <row r="1090" spans="1:25" hidden="1" x14ac:dyDescent="0.25">
      <c r="A1090" t="str">
        <f t="shared" si="16"/>
        <v>2023_NSW_RankinsSprings_Fababean_SatelliteTOSTOS1VarietyNasmaWaterTrtRainFed</v>
      </c>
      <c r="B1090">
        <v>2023028</v>
      </c>
      <c r="C1090" t="s">
        <v>92</v>
      </c>
      <c r="D1090">
        <v>6</v>
      </c>
      <c r="E1090" t="s">
        <v>34</v>
      </c>
      <c r="F1090" t="s">
        <v>128</v>
      </c>
      <c r="G1090" t="s">
        <v>30</v>
      </c>
      <c r="I1090">
        <v>1</v>
      </c>
      <c r="J1090" t="s">
        <v>93</v>
      </c>
      <c r="K1090" s="1">
        <v>45218</v>
      </c>
      <c r="L1090">
        <v>546.70000000000005</v>
      </c>
      <c r="M1090">
        <v>30</v>
      </c>
      <c r="N1090">
        <v>0.4</v>
      </c>
      <c r="O1090">
        <v>1.9E-2</v>
      </c>
      <c r="R1090">
        <v>23.1</v>
      </c>
      <c r="S1090">
        <v>1.6</v>
      </c>
      <c r="T1090">
        <v>342.3</v>
      </c>
      <c r="U1090">
        <v>31</v>
      </c>
      <c r="V1090">
        <v>570.4</v>
      </c>
      <c r="W1090">
        <v>8</v>
      </c>
      <c r="X1090">
        <v>195</v>
      </c>
      <c r="Y1090">
        <v>16</v>
      </c>
    </row>
    <row r="1091" spans="1:25" hidden="1" x14ac:dyDescent="0.25">
      <c r="A1091" t="str">
        <f t="shared" ref="A1091:A1154" si="17">C1091&amp;"TOSTOS"&amp;I1091&amp;"Variety"&amp;F1091&amp;"WaterTrt"&amp;G1091&amp;IF(H1091="","","Agronomy"&amp;H1091)</f>
        <v>2023_NSW_RankinsSprings_Fababean_SatelliteTOSTOS2VarietyNasmaWaterTrtRainFed</v>
      </c>
      <c r="B1091">
        <v>2023028</v>
      </c>
      <c r="C1091" t="s">
        <v>92</v>
      </c>
      <c r="D1091">
        <v>6</v>
      </c>
      <c r="E1091" t="s">
        <v>34</v>
      </c>
      <c r="F1091" t="s">
        <v>128</v>
      </c>
      <c r="G1091" t="s">
        <v>30</v>
      </c>
      <c r="I1091">
        <v>2</v>
      </c>
      <c r="J1091" t="s">
        <v>94</v>
      </c>
      <c r="K1091" s="1">
        <v>45229</v>
      </c>
      <c r="L1091">
        <v>342.5</v>
      </c>
      <c r="M1091">
        <v>30</v>
      </c>
      <c r="N1091">
        <v>0.4</v>
      </c>
      <c r="O1091">
        <v>1.9E-2</v>
      </c>
      <c r="R1091">
        <v>28</v>
      </c>
      <c r="S1091">
        <v>1.6</v>
      </c>
      <c r="T1091">
        <v>241.3</v>
      </c>
      <c r="U1091">
        <v>17</v>
      </c>
      <c r="V1091">
        <v>503.4</v>
      </c>
      <c r="W1091">
        <v>8</v>
      </c>
      <c r="X1091">
        <v>121</v>
      </c>
      <c r="Y1091">
        <v>7.7</v>
      </c>
    </row>
    <row r="1092" spans="1:25" hidden="1" x14ac:dyDescent="0.25">
      <c r="A1092" t="str">
        <f t="shared" si="17"/>
        <v>2023_NSW_RankinsSprings_Fababean_SatelliteTOSTOS1VarietySamiraWaterTrtRainFed</v>
      </c>
      <c r="B1092">
        <v>2023028</v>
      </c>
      <c r="C1092" t="s">
        <v>92</v>
      </c>
      <c r="D1092">
        <v>6</v>
      </c>
      <c r="E1092" t="s">
        <v>34</v>
      </c>
      <c r="F1092" t="s">
        <v>129</v>
      </c>
      <c r="G1092" t="s">
        <v>30</v>
      </c>
      <c r="I1092">
        <v>1</v>
      </c>
      <c r="J1092" t="s">
        <v>93</v>
      </c>
      <c r="K1092" s="1">
        <v>45218</v>
      </c>
      <c r="L1092">
        <v>456.7</v>
      </c>
      <c r="M1092">
        <v>30</v>
      </c>
      <c r="N1092">
        <v>0.3</v>
      </c>
      <c r="O1092">
        <v>1.9E-2</v>
      </c>
      <c r="R1092">
        <v>23.1</v>
      </c>
      <c r="S1092">
        <v>1.8</v>
      </c>
      <c r="T1092">
        <v>289.39999999999998</v>
      </c>
      <c r="U1092">
        <v>31</v>
      </c>
      <c r="V1092">
        <v>502.9</v>
      </c>
      <c r="W1092">
        <v>8</v>
      </c>
      <c r="X1092">
        <v>146</v>
      </c>
      <c r="Y1092">
        <v>16</v>
      </c>
    </row>
    <row r="1093" spans="1:25" hidden="1" x14ac:dyDescent="0.25">
      <c r="A1093" t="str">
        <f t="shared" si="17"/>
        <v>2023_NSW_RankinsSprings_Fababean_SatelliteTOSTOS2VarietySamiraWaterTrtRainFed</v>
      </c>
      <c r="B1093">
        <v>2023028</v>
      </c>
      <c r="C1093" t="s">
        <v>92</v>
      </c>
      <c r="D1093">
        <v>6</v>
      </c>
      <c r="E1093" t="s">
        <v>34</v>
      </c>
      <c r="F1093" t="s">
        <v>129</v>
      </c>
      <c r="G1093" t="s">
        <v>30</v>
      </c>
      <c r="I1093">
        <v>2</v>
      </c>
      <c r="J1093" t="s">
        <v>94</v>
      </c>
      <c r="K1093" s="1">
        <v>45229</v>
      </c>
      <c r="L1093">
        <v>300.39999999999998</v>
      </c>
      <c r="M1093">
        <v>30</v>
      </c>
      <c r="N1093">
        <v>0.3</v>
      </c>
      <c r="O1093">
        <v>1.9E-2</v>
      </c>
      <c r="R1093">
        <v>26.3</v>
      </c>
      <c r="S1093">
        <v>1.6</v>
      </c>
      <c r="T1093">
        <v>200.8</v>
      </c>
      <c r="U1093">
        <v>17</v>
      </c>
      <c r="V1093">
        <v>491.6</v>
      </c>
      <c r="W1093">
        <v>8</v>
      </c>
      <c r="X1093">
        <v>99</v>
      </c>
      <c r="Y1093">
        <v>7.7</v>
      </c>
    </row>
    <row r="1094" spans="1:25" hidden="1" x14ac:dyDescent="0.25">
      <c r="A1094" t="str">
        <f t="shared" si="17"/>
        <v>2023_NSW_RankinsSprings_Lupin_SatelliteTOSTOS1VarietyJindaleeWaterTrtRainFed</v>
      </c>
      <c r="B1094">
        <v>2023029</v>
      </c>
      <c r="C1094" t="s">
        <v>95</v>
      </c>
      <c r="D1094">
        <v>6</v>
      </c>
      <c r="E1094" t="s">
        <v>34</v>
      </c>
      <c r="F1094" t="s">
        <v>96</v>
      </c>
      <c r="G1094" t="s">
        <v>30</v>
      </c>
      <c r="I1094">
        <v>1</v>
      </c>
      <c r="J1094" t="s">
        <v>93</v>
      </c>
      <c r="K1094" s="1">
        <v>45231</v>
      </c>
      <c r="L1094">
        <v>691.7</v>
      </c>
      <c r="M1094">
        <v>29</v>
      </c>
      <c r="N1094">
        <v>0.2</v>
      </c>
      <c r="O1094">
        <v>1.7999999999999999E-2</v>
      </c>
      <c r="R1094">
        <v>43.8</v>
      </c>
      <c r="S1094">
        <v>2.5</v>
      </c>
      <c r="T1094">
        <v>1201.9000000000001</v>
      </c>
      <c r="U1094">
        <v>92</v>
      </c>
      <c r="V1094">
        <v>121.4</v>
      </c>
      <c r="W1094">
        <v>4</v>
      </c>
      <c r="X1094">
        <v>146</v>
      </c>
      <c r="Y1094">
        <v>12</v>
      </c>
    </row>
    <row r="1095" spans="1:25" hidden="1" x14ac:dyDescent="0.25">
      <c r="A1095" t="str">
        <f t="shared" si="17"/>
        <v>2023_NSW_RankinsSprings_Lupin_SatelliteTOSTOS2VarietyJindaleeWaterTrtRainFed</v>
      </c>
      <c r="B1095">
        <v>2023029</v>
      </c>
      <c r="C1095" t="s">
        <v>95</v>
      </c>
      <c r="D1095">
        <v>6</v>
      </c>
      <c r="E1095" t="s">
        <v>34</v>
      </c>
      <c r="F1095" t="s">
        <v>96</v>
      </c>
      <c r="G1095" t="s">
        <v>30</v>
      </c>
      <c r="I1095">
        <v>2</v>
      </c>
      <c r="J1095" t="s">
        <v>94</v>
      </c>
      <c r="K1095" s="1">
        <v>45232</v>
      </c>
      <c r="L1095">
        <v>474.2</v>
      </c>
      <c r="M1095">
        <v>29</v>
      </c>
      <c r="N1095">
        <v>0.2</v>
      </c>
      <c r="O1095">
        <v>1.7999999999999999E-2</v>
      </c>
      <c r="R1095">
        <v>37.9</v>
      </c>
      <c r="S1095">
        <v>2.5</v>
      </c>
      <c r="T1095">
        <v>917.4</v>
      </c>
      <c r="U1095">
        <v>92</v>
      </c>
      <c r="V1095">
        <v>118.1</v>
      </c>
      <c r="W1095">
        <v>4</v>
      </c>
      <c r="X1095">
        <v>109</v>
      </c>
      <c r="Y1095">
        <v>12</v>
      </c>
    </row>
    <row r="1096" spans="1:25" hidden="1" x14ac:dyDescent="0.25">
      <c r="A1096" t="str">
        <f t="shared" si="17"/>
        <v>2023_NSW_RankinsSprings_Lupin_SatelliteTOSTOS1VarietyMandelupWaterTrtRainFed</v>
      </c>
      <c r="B1096">
        <v>2023029</v>
      </c>
      <c r="C1096" t="s">
        <v>95</v>
      </c>
      <c r="D1096">
        <v>6</v>
      </c>
      <c r="E1096" t="s">
        <v>34</v>
      </c>
      <c r="F1096" t="s">
        <v>77</v>
      </c>
      <c r="G1096" t="s">
        <v>30</v>
      </c>
      <c r="I1096">
        <v>1</v>
      </c>
      <c r="J1096" t="s">
        <v>93</v>
      </c>
      <c r="K1096" s="1">
        <v>45231</v>
      </c>
      <c r="L1096">
        <v>682.5</v>
      </c>
      <c r="M1096">
        <v>29</v>
      </c>
      <c r="N1096">
        <v>0.2</v>
      </c>
      <c r="O1096">
        <v>1.7999999999999999E-2</v>
      </c>
      <c r="R1096">
        <v>38.1</v>
      </c>
      <c r="S1096">
        <v>2.5</v>
      </c>
      <c r="T1096">
        <v>1010.6</v>
      </c>
      <c r="U1096">
        <v>110</v>
      </c>
      <c r="V1096">
        <v>128.4</v>
      </c>
      <c r="W1096">
        <v>4.5</v>
      </c>
      <c r="X1096">
        <v>136</v>
      </c>
      <c r="Y1096">
        <v>12</v>
      </c>
    </row>
    <row r="1097" spans="1:25" hidden="1" x14ac:dyDescent="0.25">
      <c r="A1097" t="str">
        <f t="shared" si="17"/>
        <v>2023_NSW_RankinsSprings_Lupin_SatelliteTOSTOS2VarietyMandelupWaterTrtRainFed</v>
      </c>
      <c r="B1097">
        <v>2023029</v>
      </c>
      <c r="C1097" t="s">
        <v>95</v>
      </c>
      <c r="D1097">
        <v>6</v>
      </c>
      <c r="E1097" t="s">
        <v>34</v>
      </c>
      <c r="F1097" t="s">
        <v>77</v>
      </c>
      <c r="G1097" t="s">
        <v>30</v>
      </c>
      <c r="I1097">
        <v>2</v>
      </c>
      <c r="J1097" t="s">
        <v>94</v>
      </c>
      <c r="K1097" s="1">
        <v>45232</v>
      </c>
      <c r="L1097">
        <v>518.29999999999995</v>
      </c>
      <c r="M1097">
        <v>29</v>
      </c>
      <c r="N1097">
        <v>0.2</v>
      </c>
      <c r="O1097">
        <v>1.7999999999999999E-2</v>
      </c>
      <c r="R1097">
        <v>47.1</v>
      </c>
      <c r="S1097">
        <v>2.5</v>
      </c>
      <c r="T1097">
        <v>654.79999999999995</v>
      </c>
      <c r="U1097">
        <v>92</v>
      </c>
      <c r="V1097">
        <v>144.4</v>
      </c>
      <c r="W1097">
        <v>4</v>
      </c>
      <c r="X1097">
        <v>94</v>
      </c>
      <c r="Y1097">
        <v>12</v>
      </c>
    </row>
    <row r="1098" spans="1:25" hidden="1" x14ac:dyDescent="0.25">
      <c r="A1098" t="str">
        <f t="shared" si="17"/>
        <v>2023_NSW_RankinsSprings_Lupin_SatelliteTOSTOS1VarietyBatemanWaterTrtRainFed</v>
      </c>
      <c r="B1098">
        <v>2023029</v>
      </c>
      <c r="C1098" t="s">
        <v>95</v>
      </c>
      <c r="D1098">
        <v>6</v>
      </c>
      <c r="E1098" t="s">
        <v>34</v>
      </c>
      <c r="F1098" t="s">
        <v>139</v>
      </c>
      <c r="G1098" t="s">
        <v>30</v>
      </c>
      <c r="I1098">
        <v>1</v>
      </c>
      <c r="J1098" t="s">
        <v>93</v>
      </c>
      <c r="K1098" s="1">
        <v>45231</v>
      </c>
      <c r="L1098">
        <v>659.6</v>
      </c>
      <c r="M1098">
        <v>29</v>
      </c>
      <c r="N1098">
        <v>0.2</v>
      </c>
      <c r="O1098">
        <v>1.7999999999999999E-2</v>
      </c>
      <c r="R1098">
        <v>40.799999999999997</v>
      </c>
      <c r="S1098">
        <v>2.5</v>
      </c>
      <c r="T1098">
        <v>1249.8</v>
      </c>
      <c r="U1098">
        <v>92</v>
      </c>
      <c r="V1098">
        <v>123.5</v>
      </c>
      <c r="W1098">
        <v>4</v>
      </c>
      <c r="X1098">
        <v>154</v>
      </c>
      <c r="Y1098">
        <v>12</v>
      </c>
    </row>
    <row r="1099" spans="1:25" hidden="1" x14ac:dyDescent="0.25">
      <c r="A1099" t="str">
        <f t="shared" si="17"/>
        <v>2023_NSW_RankinsSprings_Lupin_SatelliteTOSTOS2VarietyBatemanWaterTrtRainFed</v>
      </c>
      <c r="B1099">
        <v>2023029</v>
      </c>
      <c r="C1099" t="s">
        <v>95</v>
      </c>
      <c r="D1099">
        <v>6</v>
      </c>
      <c r="E1099" t="s">
        <v>34</v>
      </c>
      <c r="F1099" t="s">
        <v>139</v>
      </c>
      <c r="G1099" t="s">
        <v>30</v>
      </c>
      <c r="I1099">
        <v>2</v>
      </c>
      <c r="J1099" t="s">
        <v>94</v>
      </c>
      <c r="K1099" s="1">
        <v>45232</v>
      </c>
      <c r="L1099">
        <v>511.7</v>
      </c>
      <c r="M1099">
        <v>29</v>
      </c>
      <c r="N1099">
        <v>0.2</v>
      </c>
      <c r="O1099">
        <v>1.7999999999999999E-2</v>
      </c>
      <c r="R1099">
        <v>39.6</v>
      </c>
      <c r="S1099">
        <v>2.5</v>
      </c>
      <c r="T1099">
        <v>957.3</v>
      </c>
      <c r="U1099">
        <v>92</v>
      </c>
      <c r="V1099">
        <v>130</v>
      </c>
      <c r="W1099">
        <v>4</v>
      </c>
      <c r="X1099">
        <v>125</v>
      </c>
      <c r="Y1099">
        <v>12</v>
      </c>
    </row>
    <row r="1100" spans="1:25" hidden="1" x14ac:dyDescent="0.25">
      <c r="A1100" t="str">
        <f t="shared" si="17"/>
        <v>2023_NSW_RankinsSprings_Lupin_SatelliteTOSTOS1VarietyGunyidiWaterTrtRainFed</v>
      </c>
      <c r="B1100">
        <v>2023029</v>
      </c>
      <c r="C1100" t="s">
        <v>95</v>
      </c>
      <c r="D1100">
        <v>6</v>
      </c>
      <c r="E1100" t="s">
        <v>34</v>
      </c>
      <c r="F1100" t="s">
        <v>143</v>
      </c>
      <c r="G1100" t="s">
        <v>30</v>
      </c>
      <c r="I1100">
        <v>1</v>
      </c>
      <c r="J1100" t="s">
        <v>93</v>
      </c>
      <c r="K1100" s="1">
        <v>45231</v>
      </c>
      <c r="L1100">
        <v>666.3</v>
      </c>
      <c r="M1100">
        <v>29</v>
      </c>
      <c r="N1100">
        <v>0.2</v>
      </c>
      <c r="O1100">
        <v>1.7999999999999999E-2</v>
      </c>
      <c r="R1100">
        <v>42.1</v>
      </c>
      <c r="S1100">
        <v>2.5</v>
      </c>
      <c r="T1100">
        <v>1274.7</v>
      </c>
      <c r="U1100">
        <v>92</v>
      </c>
      <c r="V1100">
        <v>114.6</v>
      </c>
      <c r="W1100">
        <v>4</v>
      </c>
      <c r="X1100">
        <v>144</v>
      </c>
      <c r="Y1100">
        <v>12</v>
      </c>
    </row>
    <row r="1101" spans="1:25" hidden="1" x14ac:dyDescent="0.25">
      <c r="A1101" t="str">
        <f t="shared" si="17"/>
        <v>2023_NSW_RankinsSprings_Lupin_SatelliteTOSTOS2VarietyGunyidiWaterTrtRainFed</v>
      </c>
      <c r="B1101">
        <v>2023029</v>
      </c>
      <c r="C1101" t="s">
        <v>95</v>
      </c>
      <c r="D1101">
        <v>6</v>
      </c>
      <c r="E1101" t="s">
        <v>34</v>
      </c>
      <c r="F1101" t="s">
        <v>143</v>
      </c>
      <c r="G1101" t="s">
        <v>30</v>
      </c>
      <c r="I1101">
        <v>2</v>
      </c>
      <c r="J1101" t="s">
        <v>94</v>
      </c>
      <c r="K1101" s="1">
        <v>45232</v>
      </c>
      <c r="L1101">
        <v>497.5</v>
      </c>
      <c r="M1101">
        <v>29</v>
      </c>
      <c r="N1101">
        <v>0.3</v>
      </c>
      <c r="O1101">
        <v>1.7999999999999999E-2</v>
      </c>
      <c r="R1101">
        <v>41</v>
      </c>
      <c r="S1101">
        <v>2.5</v>
      </c>
      <c r="T1101">
        <v>1002.3</v>
      </c>
      <c r="U1101">
        <v>92</v>
      </c>
      <c r="V1101">
        <v>124.8</v>
      </c>
      <c r="W1101">
        <v>4</v>
      </c>
      <c r="X1101">
        <v>125</v>
      </c>
      <c r="Y1101">
        <v>12</v>
      </c>
    </row>
    <row r="1102" spans="1:25" hidden="1" x14ac:dyDescent="0.25">
      <c r="A1102" t="str">
        <f t="shared" si="17"/>
        <v>2023_NSW_RankinsSprings_Lupin_SatelliteTOSTOS1VarietyJurienWaterTrtRainFed</v>
      </c>
      <c r="B1102">
        <v>2023029</v>
      </c>
      <c r="C1102" t="s">
        <v>95</v>
      </c>
      <c r="D1102">
        <v>6</v>
      </c>
      <c r="E1102" t="s">
        <v>34</v>
      </c>
      <c r="F1102" t="s">
        <v>140</v>
      </c>
      <c r="G1102" t="s">
        <v>30</v>
      </c>
      <c r="I1102">
        <v>1</v>
      </c>
      <c r="J1102" t="s">
        <v>93</v>
      </c>
      <c r="K1102" s="1">
        <v>45231</v>
      </c>
      <c r="L1102">
        <v>611.70000000000005</v>
      </c>
      <c r="M1102">
        <v>29</v>
      </c>
      <c r="N1102">
        <v>0.2</v>
      </c>
      <c r="O1102">
        <v>1.7999999999999999E-2</v>
      </c>
      <c r="R1102">
        <v>41.3</v>
      </c>
      <c r="S1102">
        <v>2.5</v>
      </c>
      <c r="T1102">
        <v>895.8</v>
      </c>
      <c r="U1102">
        <v>110</v>
      </c>
      <c r="V1102">
        <v>125</v>
      </c>
      <c r="W1102">
        <v>4.5</v>
      </c>
      <c r="X1102">
        <v>101</v>
      </c>
      <c r="Y1102">
        <v>12</v>
      </c>
    </row>
    <row r="1103" spans="1:25" hidden="1" x14ac:dyDescent="0.25">
      <c r="A1103" t="str">
        <f t="shared" si="17"/>
        <v>2023_NSW_RankinsSprings_Lupin_SatelliteTOSTOS2VarietyJurienWaterTrtRainFed</v>
      </c>
      <c r="B1103">
        <v>2023029</v>
      </c>
      <c r="C1103" t="s">
        <v>95</v>
      </c>
      <c r="D1103">
        <v>6</v>
      </c>
      <c r="E1103" t="s">
        <v>34</v>
      </c>
      <c r="F1103" t="s">
        <v>140</v>
      </c>
      <c r="G1103" t="s">
        <v>30</v>
      </c>
      <c r="I1103">
        <v>2</v>
      </c>
      <c r="J1103" t="s">
        <v>94</v>
      </c>
      <c r="K1103" s="1">
        <v>45232</v>
      </c>
      <c r="L1103">
        <v>474.6</v>
      </c>
      <c r="M1103">
        <v>29</v>
      </c>
      <c r="N1103">
        <v>0.2</v>
      </c>
      <c r="O1103">
        <v>1.7999999999999999E-2</v>
      </c>
      <c r="R1103">
        <v>39</v>
      </c>
      <c r="S1103">
        <v>2.5</v>
      </c>
      <c r="T1103">
        <v>734.7</v>
      </c>
      <c r="U1103">
        <v>92</v>
      </c>
      <c r="V1103">
        <v>140.9</v>
      </c>
      <c r="W1103">
        <v>4</v>
      </c>
      <c r="X1103">
        <v>105</v>
      </c>
      <c r="Y1103">
        <v>12</v>
      </c>
    </row>
    <row r="1104" spans="1:25" hidden="1" x14ac:dyDescent="0.25">
      <c r="A1104" t="str">
        <f t="shared" si="17"/>
        <v>2023_NSW_RankinsSprings_Lupin_SatelliteTOSTOS1VarietyWongaWaterTrtRainFed</v>
      </c>
      <c r="B1104">
        <v>2023029</v>
      </c>
      <c r="C1104" t="s">
        <v>95</v>
      </c>
      <c r="D1104">
        <v>6</v>
      </c>
      <c r="E1104" t="s">
        <v>34</v>
      </c>
      <c r="F1104" t="s">
        <v>78</v>
      </c>
      <c r="G1104" t="s">
        <v>30</v>
      </c>
      <c r="I1104">
        <v>1</v>
      </c>
      <c r="J1104" t="s">
        <v>93</v>
      </c>
      <c r="K1104" s="1">
        <v>45231</v>
      </c>
      <c r="L1104">
        <v>652.5</v>
      </c>
      <c r="M1104">
        <v>29</v>
      </c>
      <c r="N1104">
        <v>0.2</v>
      </c>
      <c r="O1104">
        <v>1.7999999999999999E-2</v>
      </c>
      <c r="R1104">
        <v>41.9</v>
      </c>
      <c r="S1104">
        <v>2.5</v>
      </c>
      <c r="T1104">
        <v>1311.8</v>
      </c>
      <c r="U1104">
        <v>92</v>
      </c>
      <c r="V1104">
        <v>110.5</v>
      </c>
      <c r="W1104">
        <v>4</v>
      </c>
      <c r="X1104">
        <v>146</v>
      </c>
      <c r="Y1104">
        <v>12</v>
      </c>
    </row>
    <row r="1105" spans="1:25" hidden="1" x14ac:dyDescent="0.25">
      <c r="A1105" t="str">
        <f t="shared" si="17"/>
        <v>2023_NSW_RankinsSprings_Lupin_SatelliteTOSTOS2VarietyWongaWaterTrtRainFed</v>
      </c>
      <c r="B1105">
        <v>2023029</v>
      </c>
      <c r="C1105" t="s">
        <v>95</v>
      </c>
      <c r="D1105">
        <v>6</v>
      </c>
      <c r="E1105" t="s">
        <v>34</v>
      </c>
      <c r="F1105" t="s">
        <v>78</v>
      </c>
      <c r="G1105" t="s">
        <v>30</v>
      </c>
      <c r="I1105">
        <v>2</v>
      </c>
      <c r="J1105" t="s">
        <v>94</v>
      </c>
      <c r="K1105" s="1">
        <v>45232</v>
      </c>
      <c r="L1105">
        <v>498.8</v>
      </c>
      <c r="M1105">
        <v>29</v>
      </c>
      <c r="N1105">
        <v>0.2</v>
      </c>
      <c r="O1105">
        <v>1.7999999999999999E-2</v>
      </c>
      <c r="R1105">
        <v>45</v>
      </c>
      <c r="S1105">
        <v>2.5</v>
      </c>
      <c r="T1105">
        <v>906.9</v>
      </c>
      <c r="U1105">
        <v>92</v>
      </c>
      <c r="V1105">
        <v>122.7</v>
      </c>
      <c r="W1105">
        <v>4</v>
      </c>
      <c r="X1105">
        <v>111</v>
      </c>
      <c r="Y1105">
        <v>12</v>
      </c>
    </row>
    <row r="1106" spans="1:25" hidden="1" x14ac:dyDescent="0.25">
      <c r="A1106" t="str">
        <f t="shared" si="17"/>
        <v>2023_SA_Warnertown_Fababean_SatelliteTOSTOS1VarietyAmberleyWaterTrtRainFedAgronomyDensity_0.66</v>
      </c>
      <c r="B1106">
        <v>2023032</v>
      </c>
      <c r="C1106" t="s">
        <v>97</v>
      </c>
      <c r="D1106">
        <v>6</v>
      </c>
      <c r="E1106" t="s">
        <v>34</v>
      </c>
      <c r="F1106" t="s">
        <v>126</v>
      </c>
      <c r="G1106" t="s">
        <v>30</v>
      </c>
      <c r="H1106" t="s">
        <v>63</v>
      </c>
      <c r="I1106">
        <v>1</v>
      </c>
      <c r="J1106" t="s">
        <v>98</v>
      </c>
      <c r="K1106" s="1">
        <v>45202</v>
      </c>
      <c r="L1106">
        <v>1226.2</v>
      </c>
      <c r="M1106">
        <v>130</v>
      </c>
      <c r="N1106">
        <v>0.4</v>
      </c>
      <c r="O1106">
        <v>2.5999999999999999E-2</v>
      </c>
      <c r="R1106">
        <v>16.7</v>
      </c>
      <c r="S1106">
        <v>2</v>
      </c>
      <c r="T1106">
        <v>841.3</v>
      </c>
      <c r="U1106">
        <v>85</v>
      </c>
      <c r="V1106">
        <v>593.1</v>
      </c>
      <c r="W1106">
        <v>24</v>
      </c>
      <c r="X1106">
        <v>497</v>
      </c>
      <c r="Y1106">
        <v>48</v>
      </c>
    </row>
    <row r="1107" spans="1:25" hidden="1" x14ac:dyDescent="0.25">
      <c r="A1107" t="str">
        <f t="shared" si="17"/>
        <v>2023_SA_Warnertown_Fababean_SatelliteTOSTOS2VarietyAmberleyWaterTrtRainFedAgronomyDensity_0.66</v>
      </c>
      <c r="B1107">
        <v>2023032</v>
      </c>
      <c r="C1107" t="s">
        <v>97</v>
      </c>
      <c r="D1107">
        <v>6</v>
      </c>
      <c r="E1107" t="s">
        <v>34</v>
      </c>
      <c r="F1107" t="s">
        <v>126</v>
      </c>
      <c r="G1107" t="s">
        <v>30</v>
      </c>
      <c r="H1107" t="s">
        <v>63</v>
      </c>
      <c r="I1107">
        <v>2</v>
      </c>
      <c r="J1107" t="s">
        <v>99</v>
      </c>
      <c r="K1107" s="1">
        <v>45211</v>
      </c>
      <c r="L1107">
        <v>696.8</v>
      </c>
      <c r="M1107">
        <v>130</v>
      </c>
      <c r="N1107">
        <v>0.4</v>
      </c>
      <c r="O1107">
        <v>2.5999999999999999E-2</v>
      </c>
      <c r="R1107">
        <v>16.100000000000001</v>
      </c>
      <c r="S1107">
        <v>2</v>
      </c>
      <c r="T1107">
        <v>471.2</v>
      </c>
      <c r="U1107">
        <v>85</v>
      </c>
      <c r="V1107">
        <v>603.1</v>
      </c>
      <c r="W1107">
        <v>24</v>
      </c>
      <c r="X1107">
        <v>284</v>
      </c>
      <c r="Y1107">
        <v>48</v>
      </c>
    </row>
    <row r="1108" spans="1:25" hidden="1" x14ac:dyDescent="0.25">
      <c r="A1108" t="str">
        <f t="shared" si="17"/>
        <v>2023_SA_Warnertown_Fababean_SatelliteTOSTOS1VarietyAmberleyWaterTrtRainFedAgronomyDensity_1</v>
      </c>
      <c r="B1108">
        <v>2023032</v>
      </c>
      <c r="C1108" t="s">
        <v>97</v>
      </c>
      <c r="D1108">
        <v>6</v>
      </c>
      <c r="E1108" t="s">
        <v>34</v>
      </c>
      <c r="F1108" t="s">
        <v>126</v>
      </c>
      <c r="G1108" t="s">
        <v>30</v>
      </c>
      <c r="H1108" t="s">
        <v>65</v>
      </c>
      <c r="I1108">
        <v>1</v>
      </c>
      <c r="J1108" t="s">
        <v>98</v>
      </c>
      <c r="K1108" s="1">
        <v>45202</v>
      </c>
      <c r="L1108">
        <v>903</v>
      </c>
      <c r="M1108">
        <v>130</v>
      </c>
      <c r="N1108">
        <v>0.4</v>
      </c>
      <c r="O1108">
        <v>2.5999999999999999E-2</v>
      </c>
      <c r="R1108">
        <v>19.399999999999999</v>
      </c>
      <c r="S1108">
        <v>2</v>
      </c>
      <c r="T1108">
        <v>546.4</v>
      </c>
      <c r="U1108">
        <v>85</v>
      </c>
      <c r="V1108">
        <v>611.79999999999995</v>
      </c>
      <c r="W1108">
        <v>24</v>
      </c>
      <c r="X1108">
        <v>331</v>
      </c>
      <c r="Y1108">
        <v>48</v>
      </c>
    </row>
    <row r="1109" spans="1:25" hidden="1" x14ac:dyDescent="0.25">
      <c r="A1109" t="str">
        <f t="shared" si="17"/>
        <v>2023_SA_Warnertown_Fababean_SatelliteTOSTOS2VarietyAmberleyWaterTrtRainFedAgronomyDensity_1</v>
      </c>
      <c r="B1109">
        <v>2023032</v>
      </c>
      <c r="C1109" t="s">
        <v>97</v>
      </c>
      <c r="D1109">
        <v>6</v>
      </c>
      <c r="E1109" t="s">
        <v>34</v>
      </c>
      <c r="F1109" t="s">
        <v>126</v>
      </c>
      <c r="G1109" t="s">
        <v>30</v>
      </c>
      <c r="H1109" t="s">
        <v>65</v>
      </c>
      <c r="I1109">
        <v>2</v>
      </c>
      <c r="J1109" t="s">
        <v>99</v>
      </c>
      <c r="K1109" s="1">
        <v>45211</v>
      </c>
      <c r="L1109">
        <v>884.8</v>
      </c>
      <c r="M1109">
        <v>130</v>
      </c>
      <c r="N1109">
        <v>0.4</v>
      </c>
      <c r="O1109">
        <v>2.5999999999999999E-2</v>
      </c>
      <c r="R1109">
        <v>22.8</v>
      </c>
      <c r="S1109">
        <v>2</v>
      </c>
      <c r="T1109">
        <v>576.5</v>
      </c>
      <c r="U1109">
        <v>85</v>
      </c>
      <c r="V1109">
        <v>561</v>
      </c>
      <c r="W1109">
        <v>24</v>
      </c>
      <c r="X1109">
        <v>325</v>
      </c>
      <c r="Y1109">
        <v>48</v>
      </c>
    </row>
    <row r="1110" spans="1:25" hidden="1" x14ac:dyDescent="0.25">
      <c r="A1110" t="str">
        <f t="shared" si="17"/>
        <v>2023_SA_Warnertown_Fababean_SatelliteTOSTOS1VarietyMarneWaterTrtRainFedAgronomyDensity_0.66</v>
      </c>
      <c r="B1110">
        <v>2023032</v>
      </c>
      <c r="C1110" t="s">
        <v>97</v>
      </c>
      <c r="D1110">
        <v>6</v>
      </c>
      <c r="E1110" t="s">
        <v>34</v>
      </c>
      <c r="F1110" t="s">
        <v>127</v>
      </c>
      <c r="G1110" t="s">
        <v>30</v>
      </c>
      <c r="H1110" t="s">
        <v>63</v>
      </c>
      <c r="I1110">
        <v>1</v>
      </c>
      <c r="J1110" t="s">
        <v>98</v>
      </c>
      <c r="K1110" s="1">
        <v>45196</v>
      </c>
      <c r="L1110">
        <v>1220.0999999999999</v>
      </c>
      <c r="M1110">
        <v>130</v>
      </c>
      <c r="N1110">
        <v>0.4</v>
      </c>
      <c r="O1110">
        <v>2.5999999999999999E-2</v>
      </c>
      <c r="R1110">
        <v>15.4</v>
      </c>
      <c r="S1110">
        <v>2</v>
      </c>
      <c r="T1110">
        <v>818</v>
      </c>
      <c r="U1110">
        <v>85</v>
      </c>
      <c r="V1110">
        <v>644.5</v>
      </c>
      <c r="W1110">
        <v>24</v>
      </c>
      <c r="X1110">
        <v>517</v>
      </c>
      <c r="Y1110">
        <v>48</v>
      </c>
    </row>
    <row r="1111" spans="1:25" hidden="1" x14ac:dyDescent="0.25">
      <c r="A1111" t="str">
        <f t="shared" si="17"/>
        <v>2023_SA_Warnertown_Fababean_SatelliteTOSTOS2VarietyMarneWaterTrtRainFedAgronomyDensity_0.66</v>
      </c>
      <c r="B1111">
        <v>2023032</v>
      </c>
      <c r="C1111" t="s">
        <v>97</v>
      </c>
      <c r="D1111">
        <v>6</v>
      </c>
      <c r="E1111" t="s">
        <v>34</v>
      </c>
      <c r="F1111" t="s">
        <v>127</v>
      </c>
      <c r="G1111" t="s">
        <v>30</v>
      </c>
      <c r="H1111" t="s">
        <v>63</v>
      </c>
      <c r="I1111">
        <v>2</v>
      </c>
      <c r="J1111" t="s">
        <v>99</v>
      </c>
      <c r="K1111" s="1">
        <v>45204</v>
      </c>
      <c r="L1111">
        <v>1138.9000000000001</v>
      </c>
      <c r="M1111">
        <v>130</v>
      </c>
      <c r="N1111">
        <v>0.4</v>
      </c>
      <c r="O1111">
        <v>2.5999999999999999E-2</v>
      </c>
      <c r="R1111">
        <v>18.100000000000001</v>
      </c>
      <c r="S1111">
        <v>2</v>
      </c>
      <c r="T1111">
        <v>841.8</v>
      </c>
      <c r="U1111">
        <v>85</v>
      </c>
      <c r="V1111">
        <v>570.70000000000005</v>
      </c>
      <c r="W1111">
        <v>24</v>
      </c>
      <c r="X1111">
        <v>482</v>
      </c>
      <c r="Y1111">
        <v>48</v>
      </c>
    </row>
    <row r="1112" spans="1:25" hidden="1" x14ac:dyDescent="0.25">
      <c r="A1112" t="str">
        <f t="shared" si="17"/>
        <v>2023_SA_Warnertown_Fababean_SatelliteTOSTOS1VarietyMarneWaterTrtRainFedAgronomyDensity_1</v>
      </c>
      <c r="B1112">
        <v>2023032</v>
      </c>
      <c r="C1112" t="s">
        <v>97</v>
      </c>
      <c r="D1112">
        <v>6</v>
      </c>
      <c r="E1112" t="s">
        <v>34</v>
      </c>
      <c r="F1112" t="s">
        <v>127</v>
      </c>
      <c r="G1112" t="s">
        <v>30</v>
      </c>
      <c r="H1112" t="s">
        <v>65</v>
      </c>
      <c r="I1112">
        <v>1</v>
      </c>
      <c r="J1112" t="s">
        <v>98</v>
      </c>
      <c r="K1112" s="1">
        <v>45196</v>
      </c>
      <c r="L1112">
        <v>927</v>
      </c>
      <c r="M1112">
        <v>130</v>
      </c>
      <c r="N1112">
        <v>0.4</v>
      </c>
      <c r="O1112">
        <v>2.5999999999999999E-2</v>
      </c>
      <c r="R1112">
        <v>20.5</v>
      </c>
      <c r="S1112">
        <v>2</v>
      </c>
      <c r="T1112">
        <v>605.6</v>
      </c>
      <c r="U1112">
        <v>85</v>
      </c>
      <c r="V1112">
        <v>573.4</v>
      </c>
      <c r="W1112">
        <v>24</v>
      </c>
      <c r="X1112">
        <v>342</v>
      </c>
      <c r="Y1112">
        <v>48</v>
      </c>
    </row>
    <row r="1113" spans="1:25" hidden="1" x14ac:dyDescent="0.25">
      <c r="A1113" t="str">
        <f t="shared" si="17"/>
        <v>2023_SA_Warnertown_Fababean_SatelliteTOSTOS2VarietyMarneWaterTrtRainFedAgronomyDensity_1</v>
      </c>
      <c r="B1113">
        <v>2023032</v>
      </c>
      <c r="C1113" t="s">
        <v>97</v>
      </c>
      <c r="D1113">
        <v>6</v>
      </c>
      <c r="E1113" t="s">
        <v>34</v>
      </c>
      <c r="F1113" t="s">
        <v>127</v>
      </c>
      <c r="G1113" t="s">
        <v>30</v>
      </c>
      <c r="H1113" t="s">
        <v>65</v>
      </c>
      <c r="I1113">
        <v>2</v>
      </c>
      <c r="J1113" t="s">
        <v>99</v>
      </c>
      <c r="K1113" s="1">
        <v>45204</v>
      </c>
      <c r="L1113">
        <v>803.5</v>
      </c>
      <c r="M1113">
        <v>130</v>
      </c>
      <c r="N1113">
        <v>0.4</v>
      </c>
      <c r="O1113">
        <v>2.5999999999999999E-2</v>
      </c>
      <c r="R1113">
        <v>20.3</v>
      </c>
      <c r="S1113">
        <v>2</v>
      </c>
      <c r="T1113">
        <v>524.70000000000005</v>
      </c>
      <c r="U1113">
        <v>85</v>
      </c>
      <c r="V1113">
        <v>575.29999999999995</v>
      </c>
      <c r="W1113">
        <v>24</v>
      </c>
      <c r="X1113">
        <v>303</v>
      </c>
      <c r="Y1113">
        <v>48</v>
      </c>
    </row>
    <row r="1114" spans="1:25" hidden="1" x14ac:dyDescent="0.25">
      <c r="A1114" t="str">
        <f t="shared" si="17"/>
        <v>2023_SA_Warnertown_Fababean_SatelliteTOSTOS1VarietyNasmaWaterTrtRainFedAgronomyDensity_1</v>
      </c>
      <c r="B1114">
        <v>2023032</v>
      </c>
      <c r="C1114" t="s">
        <v>97</v>
      </c>
      <c r="D1114">
        <v>6</v>
      </c>
      <c r="E1114" t="s">
        <v>34</v>
      </c>
      <c r="F1114" t="s">
        <v>128</v>
      </c>
      <c r="G1114" t="s">
        <v>30</v>
      </c>
      <c r="H1114" t="s">
        <v>65</v>
      </c>
      <c r="I1114">
        <v>1</v>
      </c>
      <c r="J1114" t="s">
        <v>98</v>
      </c>
      <c r="K1114" s="1">
        <v>45196</v>
      </c>
      <c r="L1114">
        <v>1121.5</v>
      </c>
      <c r="M1114">
        <v>130</v>
      </c>
      <c r="N1114">
        <v>0.4</v>
      </c>
      <c r="O1114">
        <v>2.5999999999999999E-2</v>
      </c>
      <c r="R1114">
        <v>23.4</v>
      </c>
      <c r="S1114">
        <v>2</v>
      </c>
      <c r="T1114">
        <v>699.2</v>
      </c>
      <c r="U1114">
        <v>85</v>
      </c>
      <c r="V1114">
        <v>637.29999999999995</v>
      </c>
      <c r="W1114">
        <v>24</v>
      </c>
      <c r="X1114">
        <v>446</v>
      </c>
      <c r="Y1114">
        <v>48</v>
      </c>
    </row>
    <row r="1115" spans="1:25" hidden="1" x14ac:dyDescent="0.25">
      <c r="A1115" t="str">
        <f t="shared" si="17"/>
        <v>2023_SA_Warnertown_Fababean_SatelliteTOSTOS2VarietyNasmaWaterTrtRainFedAgronomyDensity_1</v>
      </c>
      <c r="B1115">
        <v>2023032</v>
      </c>
      <c r="C1115" t="s">
        <v>97</v>
      </c>
      <c r="D1115">
        <v>6</v>
      </c>
      <c r="E1115" t="s">
        <v>34</v>
      </c>
      <c r="F1115" t="s">
        <v>128</v>
      </c>
      <c r="G1115" t="s">
        <v>30</v>
      </c>
      <c r="H1115" t="s">
        <v>65</v>
      </c>
      <c r="I1115">
        <v>2</v>
      </c>
      <c r="J1115" t="s">
        <v>99</v>
      </c>
      <c r="K1115" s="1">
        <v>45202</v>
      </c>
      <c r="L1115">
        <v>884.9</v>
      </c>
      <c r="M1115">
        <v>130</v>
      </c>
      <c r="N1115">
        <v>0.4</v>
      </c>
      <c r="O1115">
        <v>2.5999999999999999E-2</v>
      </c>
      <c r="R1115">
        <v>20.7</v>
      </c>
      <c r="S1115">
        <v>2</v>
      </c>
      <c r="T1115">
        <v>668.7</v>
      </c>
      <c r="U1115">
        <v>85</v>
      </c>
      <c r="V1115">
        <v>592.70000000000005</v>
      </c>
      <c r="W1115">
        <v>24</v>
      </c>
      <c r="X1115">
        <v>396</v>
      </c>
      <c r="Y1115">
        <v>48</v>
      </c>
    </row>
    <row r="1116" spans="1:25" hidden="1" x14ac:dyDescent="0.25">
      <c r="A1116" t="str">
        <f t="shared" si="17"/>
        <v>2023_SA_Warnertown_Fababean_SatelliteTOSTOS1VarietySamiraWaterTrtRainFedAgronomyDensity_1</v>
      </c>
      <c r="B1116">
        <v>2023032</v>
      </c>
      <c r="C1116" t="s">
        <v>97</v>
      </c>
      <c r="D1116">
        <v>6</v>
      </c>
      <c r="E1116" t="s">
        <v>34</v>
      </c>
      <c r="F1116" t="s">
        <v>129</v>
      </c>
      <c r="G1116" t="s">
        <v>30</v>
      </c>
      <c r="H1116" t="s">
        <v>65</v>
      </c>
      <c r="I1116">
        <v>1</v>
      </c>
      <c r="J1116" t="s">
        <v>98</v>
      </c>
      <c r="K1116" s="1">
        <v>45202</v>
      </c>
      <c r="L1116">
        <v>997.3</v>
      </c>
      <c r="M1116">
        <v>130</v>
      </c>
      <c r="N1116">
        <v>0.4</v>
      </c>
      <c r="O1116">
        <v>3.1E-2</v>
      </c>
      <c r="R1116">
        <v>19.899999999999999</v>
      </c>
      <c r="S1116">
        <v>2</v>
      </c>
      <c r="T1116">
        <v>751.4</v>
      </c>
      <c r="U1116">
        <v>99</v>
      </c>
      <c r="V1116">
        <v>574.79999999999995</v>
      </c>
      <c r="W1116">
        <v>28</v>
      </c>
      <c r="X1116">
        <v>432</v>
      </c>
      <c r="Y1116">
        <v>55</v>
      </c>
    </row>
    <row r="1117" spans="1:25" hidden="1" x14ac:dyDescent="0.25">
      <c r="A1117" t="str">
        <f t="shared" si="17"/>
        <v>2023_SA_Warnertown_Fababean_SatelliteTOSTOS2VarietySamiraWaterTrtRainFedAgronomyDensity_1</v>
      </c>
      <c r="B1117">
        <v>2023032</v>
      </c>
      <c r="C1117" t="s">
        <v>97</v>
      </c>
      <c r="D1117">
        <v>6</v>
      </c>
      <c r="E1117" t="s">
        <v>34</v>
      </c>
      <c r="F1117" t="s">
        <v>129</v>
      </c>
      <c r="G1117" t="s">
        <v>30</v>
      </c>
      <c r="H1117" t="s">
        <v>65</v>
      </c>
      <c r="I1117">
        <v>2</v>
      </c>
      <c r="J1117" t="s">
        <v>99</v>
      </c>
      <c r="K1117" s="1">
        <v>45211</v>
      </c>
      <c r="L1117">
        <v>747</v>
      </c>
      <c r="M1117">
        <v>130</v>
      </c>
      <c r="N1117">
        <v>0.4</v>
      </c>
      <c r="O1117">
        <v>2.5999999999999999E-2</v>
      </c>
      <c r="R1117">
        <v>21.9</v>
      </c>
      <c r="S1117">
        <v>2</v>
      </c>
      <c r="T1117">
        <v>486.2</v>
      </c>
      <c r="U1117">
        <v>85</v>
      </c>
      <c r="V1117">
        <v>588</v>
      </c>
      <c r="W1117">
        <v>24</v>
      </c>
      <c r="X1117">
        <v>281</v>
      </c>
      <c r="Y1117">
        <v>48</v>
      </c>
    </row>
    <row r="1118" spans="1:25" x14ac:dyDescent="0.25">
      <c r="A1118" t="str">
        <f t="shared" si="17"/>
        <v>2023_SA_Warnertown_Lentil_SatelliteTOSTOS1VarietyBoltWaterTrtRainFedAgronomyDensity_0.66</v>
      </c>
      <c r="B1118">
        <v>2023033</v>
      </c>
      <c r="C1118" t="s">
        <v>100</v>
      </c>
      <c r="D1118">
        <v>6</v>
      </c>
      <c r="E1118" t="s">
        <v>34</v>
      </c>
      <c r="F1118" t="s">
        <v>130</v>
      </c>
      <c r="G1118" t="s">
        <v>30</v>
      </c>
      <c r="H1118" t="s">
        <v>63</v>
      </c>
      <c r="I1118">
        <v>1</v>
      </c>
      <c r="J1118" t="s">
        <v>98</v>
      </c>
      <c r="K1118" s="1">
        <v>45196</v>
      </c>
      <c r="L1118">
        <v>1280.4000000000001</v>
      </c>
      <c r="M1118">
        <v>46</v>
      </c>
      <c r="N1118">
        <v>0.4</v>
      </c>
      <c r="O1118">
        <v>2.3E-2</v>
      </c>
      <c r="R1118">
        <v>84.8</v>
      </c>
      <c r="S1118">
        <v>11</v>
      </c>
      <c r="T1118">
        <v>13238.3</v>
      </c>
      <c r="U1118">
        <v>750</v>
      </c>
      <c r="V1118">
        <v>40.4</v>
      </c>
      <c r="W1118">
        <v>1.5</v>
      </c>
      <c r="X1118">
        <v>535</v>
      </c>
      <c r="Y1118">
        <v>31</v>
      </c>
    </row>
    <row r="1119" spans="1:25" x14ac:dyDescent="0.25">
      <c r="A1119" t="str">
        <f t="shared" si="17"/>
        <v>2023_SA_Warnertown_Lentil_SatelliteTOSTOS2VarietyBoltWaterTrtRainFedAgronomyDensity_0.66</v>
      </c>
      <c r="B1119">
        <v>2023033</v>
      </c>
      <c r="C1119" t="s">
        <v>100</v>
      </c>
      <c r="D1119">
        <v>6</v>
      </c>
      <c r="E1119" t="s">
        <v>34</v>
      </c>
      <c r="F1119" t="s">
        <v>130</v>
      </c>
      <c r="G1119" t="s">
        <v>30</v>
      </c>
      <c r="H1119" t="s">
        <v>63</v>
      </c>
      <c r="I1119">
        <v>2</v>
      </c>
      <c r="J1119" t="s">
        <v>99</v>
      </c>
      <c r="K1119" s="1">
        <v>45204</v>
      </c>
      <c r="L1119">
        <v>824.1</v>
      </c>
      <c r="M1119">
        <v>46</v>
      </c>
      <c r="N1119">
        <v>0.4</v>
      </c>
      <c r="O1119">
        <v>2.3E-2</v>
      </c>
      <c r="R1119">
        <v>71.2</v>
      </c>
      <c r="S1119">
        <v>11</v>
      </c>
      <c r="T1119">
        <v>8114.3</v>
      </c>
      <c r="U1119">
        <v>790</v>
      </c>
      <c r="V1119">
        <v>40.799999999999997</v>
      </c>
      <c r="W1119">
        <v>1.8</v>
      </c>
      <c r="X1119">
        <v>323</v>
      </c>
      <c r="Y1119">
        <v>31</v>
      </c>
    </row>
    <row r="1120" spans="1:25" x14ac:dyDescent="0.25">
      <c r="A1120" t="str">
        <f t="shared" si="17"/>
        <v>2023_SA_Warnertown_Lentil_SatelliteTOSTOS1VarietyBoltWaterTrtRainFedAgronomyDensity_1</v>
      </c>
      <c r="B1120">
        <v>2023033</v>
      </c>
      <c r="C1120" t="s">
        <v>100</v>
      </c>
      <c r="D1120">
        <v>6</v>
      </c>
      <c r="E1120" t="s">
        <v>34</v>
      </c>
      <c r="F1120" t="s">
        <v>130</v>
      </c>
      <c r="G1120" t="s">
        <v>30</v>
      </c>
      <c r="H1120" t="s">
        <v>65</v>
      </c>
      <c r="I1120">
        <v>1</v>
      </c>
      <c r="J1120" t="s">
        <v>98</v>
      </c>
      <c r="K1120" s="1">
        <v>45196</v>
      </c>
      <c r="L1120">
        <v>1234.9000000000001</v>
      </c>
      <c r="M1120">
        <v>46</v>
      </c>
      <c r="N1120">
        <v>0.4</v>
      </c>
      <c r="O1120">
        <v>2.3E-2</v>
      </c>
      <c r="R1120">
        <v>98.2</v>
      </c>
      <c r="S1120">
        <v>11</v>
      </c>
      <c r="T1120">
        <v>12489.3</v>
      </c>
      <c r="U1120">
        <v>750</v>
      </c>
      <c r="V1120">
        <v>40.299999999999997</v>
      </c>
      <c r="W1120">
        <v>1.5</v>
      </c>
      <c r="X1120">
        <v>499</v>
      </c>
      <c r="Y1120">
        <v>31</v>
      </c>
    </row>
    <row r="1121" spans="1:25" x14ac:dyDescent="0.25">
      <c r="A1121" t="str">
        <f t="shared" si="17"/>
        <v>2023_SA_Warnertown_Lentil_SatelliteTOSTOS2VarietyBoltWaterTrtRainFedAgronomyDensity_1</v>
      </c>
      <c r="B1121">
        <v>2023033</v>
      </c>
      <c r="C1121" t="s">
        <v>100</v>
      </c>
      <c r="D1121">
        <v>6</v>
      </c>
      <c r="E1121" t="s">
        <v>34</v>
      </c>
      <c r="F1121" t="s">
        <v>130</v>
      </c>
      <c r="G1121" t="s">
        <v>30</v>
      </c>
      <c r="H1121" t="s">
        <v>65</v>
      </c>
      <c r="I1121">
        <v>2</v>
      </c>
      <c r="J1121" t="s">
        <v>99</v>
      </c>
      <c r="K1121" s="1">
        <v>45204</v>
      </c>
      <c r="L1121">
        <v>935.8</v>
      </c>
      <c r="M1121">
        <v>46</v>
      </c>
      <c r="N1121">
        <v>0.4</v>
      </c>
      <c r="O1121">
        <v>2.3E-2</v>
      </c>
      <c r="R1121">
        <v>95.4</v>
      </c>
      <c r="S1121">
        <v>11</v>
      </c>
      <c r="T1121">
        <v>10142.4</v>
      </c>
      <c r="U1121">
        <v>750</v>
      </c>
      <c r="V1121">
        <v>39.200000000000003</v>
      </c>
      <c r="W1121">
        <v>1.5</v>
      </c>
      <c r="X1121">
        <v>397</v>
      </c>
      <c r="Y1121">
        <v>31</v>
      </c>
    </row>
    <row r="1122" spans="1:25" x14ac:dyDescent="0.25">
      <c r="A1122" t="str">
        <f t="shared" si="17"/>
        <v>2023_SA_Warnertown_Lentil_SatelliteTOSTOS1VarietyHallmarkXTWaterTrtRainFedAgronomyDensity_1</v>
      </c>
      <c r="B1122">
        <v>2023033</v>
      </c>
      <c r="C1122" t="s">
        <v>100</v>
      </c>
      <c r="D1122">
        <v>6</v>
      </c>
      <c r="E1122" t="s">
        <v>34</v>
      </c>
      <c r="F1122" t="s">
        <v>131</v>
      </c>
      <c r="G1122" t="s">
        <v>30</v>
      </c>
      <c r="H1122" t="s">
        <v>65</v>
      </c>
      <c r="I1122">
        <v>1</v>
      </c>
      <c r="J1122" t="s">
        <v>98</v>
      </c>
      <c r="K1122" s="1">
        <v>45196</v>
      </c>
      <c r="L1122">
        <v>1271.5999999999999</v>
      </c>
      <c r="M1122">
        <v>46</v>
      </c>
      <c r="N1122">
        <v>0.4</v>
      </c>
      <c r="O1122">
        <v>2.3E-2</v>
      </c>
      <c r="R1122">
        <v>108.5</v>
      </c>
      <c r="S1122">
        <v>11</v>
      </c>
      <c r="T1122">
        <v>13158.6</v>
      </c>
      <c r="U1122">
        <v>790</v>
      </c>
      <c r="V1122">
        <v>36.4</v>
      </c>
      <c r="W1122">
        <v>1.8</v>
      </c>
      <c r="X1122">
        <v>499</v>
      </c>
      <c r="Y1122">
        <v>31</v>
      </c>
    </row>
    <row r="1123" spans="1:25" x14ac:dyDescent="0.25">
      <c r="A1123" t="str">
        <f t="shared" si="17"/>
        <v>2023_SA_Warnertown_Lentil_SatelliteTOSTOS2VarietyHallmarkXTWaterTrtRainFedAgronomyDensity_1</v>
      </c>
      <c r="B1123">
        <v>2023033</v>
      </c>
      <c r="C1123" t="s">
        <v>100</v>
      </c>
      <c r="D1123">
        <v>6</v>
      </c>
      <c r="E1123" t="s">
        <v>34</v>
      </c>
      <c r="F1123" t="s">
        <v>131</v>
      </c>
      <c r="G1123" t="s">
        <v>30</v>
      </c>
      <c r="H1123" t="s">
        <v>65</v>
      </c>
      <c r="I1123">
        <v>2</v>
      </c>
      <c r="J1123" t="s">
        <v>99</v>
      </c>
      <c r="K1123" s="1">
        <v>45204</v>
      </c>
      <c r="L1123">
        <v>952.5</v>
      </c>
      <c r="M1123">
        <v>46</v>
      </c>
      <c r="N1123">
        <v>0.4</v>
      </c>
      <c r="O1123">
        <v>2.5000000000000001E-2</v>
      </c>
      <c r="R1123">
        <v>117.5</v>
      </c>
      <c r="S1123">
        <v>11</v>
      </c>
      <c r="T1123">
        <v>8796.2999999999993</v>
      </c>
      <c r="U1123">
        <v>790</v>
      </c>
      <c r="V1123">
        <v>40.5</v>
      </c>
      <c r="W1123">
        <v>1.5</v>
      </c>
      <c r="X1123">
        <v>353</v>
      </c>
      <c r="Y1123">
        <v>34</v>
      </c>
    </row>
    <row r="1124" spans="1:25" x14ac:dyDescent="0.25">
      <c r="A1124" t="str">
        <f t="shared" si="17"/>
        <v>2023_SA_Warnertown_Lentil_SatelliteTOSTOS1VarietyJumbo2WaterTrtRainFedAgronomyDensity_0.66</v>
      </c>
      <c r="B1124">
        <v>2023033</v>
      </c>
      <c r="C1124" t="s">
        <v>100</v>
      </c>
      <c r="D1124">
        <v>6</v>
      </c>
      <c r="E1124" t="s">
        <v>34</v>
      </c>
      <c r="F1124" t="s">
        <v>132</v>
      </c>
      <c r="G1124" t="s">
        <v>30</v>
      </c>
      <c r="H1124" t="s">
        <v>63</v>
      </c>
      <c r="I1124">
        <v>1</v>
      </c>
      <c r="J1124" t="s">
        <v>98</v>
      </c>
      <c r="K1124" s="1">
        <v>45196</v>
      </c>
      <c r="L1124">
        <v>1024.9000000000001</v>
      </c>
      <c r="M1124">
        <v>46</v>
      </c>
      <c r="N1124">
        <v>0.4</v>
      </c>
      <c r="O1124">
        <v>2.3E-2</v>
      </c>
      <c r="R1124">
        <v>73</v>
      </c>
      <c r="S1124">
        <v>11</v>
      </c>
      <c r="T1124">
        <v>10760.9</v>
      </c>
      <c r="U1124">
        <v>750</v>
      </c>
      <c r="V1124">
        <v>39.5</v>
      </c>
      <c r="W1124">
        <v>1.5</v>
      </c>
      <c r="X1124">
        <v>426</v>
      </c>
      <c r="Y1124">
        <v>31</v>
      </c>
    </row>
    <row r="1125" spans="1:25" x14ac:dyDescent="0.25">
      <c r="A1125" t="str">
        <f t="shared" si="17"/>
        <v>2023_SA_Warnertown_Lentil_SatelliteTOSTOS2VarietyJumbo2WaterTrtRainFedAgronomyDensity_0.66</v>
      </c>
      <c r="B1125">
        <v>2023033</v>
      </c>
      <c r="C1125" t="s">
        <v>100</v>
      </c>
      <c r="D1125">
        <v>6</v>
      </c>
      <c r="E1125" t="s">
        <v>34</v>
      </c>
      <c r="F1125" t="s">
        <v>132</v>
      </c>
      <c r="G1125" t="s">
        <v>30</v>
      </c>
      <c r="H1125" t="s">
        <v>63</v>
      </c>
      <c r="I1125">
        <v>2</v>
      </c>
      <c r="J1125" t="s">
        <v>99</v>
      </c>
      <c r="K1125" s="1">
        <v>45204</v>
      </c>
      <c r="L1125">
        <v>630.79999999999995</v>
      </c>
      <c r="M1125">
        <v>46</v>
      </c>
      <c r="N1125">
        <v>0.4</v>
      </c>
      <c r="O1125">
        <v>2.3E-2</v>
      </c>
      <c r="R1125">
        <v>77.5</v>
      </c>
      <c r="S1125">
        <v>11</v>
      </c>
      <c r="T1125">
        <v>7055</v>
      </c>
      <c r="U1125">
        <v>750</v>
      </c>
      <c r="V1125">
        <v>37.700000000000003</v>
      </c>
      <c r="W1125">
        <v>1.5</v>
      </c>
      <c r="X1125">
        <v>266</v>
      </c>
      <c r="Y1125">
        <v>31</v>
      </c>
    </row>
    <row r="1126" spans="1:25" x14ac:dyDescent="0.25">
      <c r="A1126" t="str">
        <f t="shared" si="17"/>
        <v>2023_SA_Warnertown_Lentil_SatelliteTOSTOS1VarietyJumbo2WaterTrtRainFedAgronomyDensity_1</v>
      </c>
      <c r="B1126">
        <v>2023033</v>
      </c>
      <c r="C1126" t="s">
        <v>100</v>
      </c>
      <c r="D1126">
        <v>6</v>
      </c>
      <c r="E1126" t="s">
        <v>34</v>
      </c>
      <c r="F1126" t="s">
        <v>132</v>
      </c>
      <c r="G1126" t="s">
        <v>30</v>
      </c>
      <c r="H1126" t="s">
        <v>65</v>
      </c>
      <c r="I1126">
        <v>1</v>
      </c>
      <c r="J1126" t="s">
        <v>98</v>
      </c>
      <c r="K1126" s="1">
        <v>45196</v>
      </c>
      <c r="L1126">
        <v>1000</v>
      </c>
      <c r="M1126">
        <v>46</v>
      </c>
      <c r="N1126">
        <v>0.4</v>
      </c>
      <c r="O1126">
        <v>2.3E-2</v>
      </c>
      <c r="R1126">
        <v>100</v>
      </c>
      <c r="S1126">
        <v>11</v>
      </c>
      <c r="T1126">
        <v>10518.5</v>
      </c>
      <c r="U1126">
        <v>750</v>
      </c>
      <c r="V1126">
        <v>39.1</v>
      </c>
      <c r="W1126">
        <v>1.5</v>
      </c>
      <c r="X1126">
        <v>410</v>
      </c>
      <c r="Y1126">
        <v>31</v>
      </c>
    </row>
    <row r="1127" spans="1:25" x14ac:dyDescent="0.25">
      <c r="A1127" t="str">
        <f t="shared" si="17"/>
        <v>2023_SA_Warnertown_Lentil_SatelliteTOSTOS2VarietyJumbo2WaterTrtRainFedAgronomyDensity_1</v>
      </c>
      <c r="B1127">
        <v>2023033</v>
      </c>
      <c r="C1127" t="s">
        <v>100</v>
      </c>
      <c r="D1127">
        <v>6</v>
      </c>
      <c r="E1127" t="s">
        <v>34</v>
      </c>
      <c r="F1127" t="s">
        <v>132</v>
      </c>
      <c r="G1127" t="s">
        <v>30</v>
      </c>
      <c r="H1127" t="s">
        <v>65</v>
      </c>
      <c r="I1127">
        <v>2</v>
      </c>
      <c r="J1127" t="s">
        <v>99</v>
      </c>
      <c r="K1127" s="1">
        <v>45204</v>
      </c>
      <c r="L1127">
        <v>726.7</v>
      </c>
      <c r="M1127">
        <v>46</v>
      </c>
      <c r="N1127">
        <v>0.4</v>
      </c>
      <c r="O1127">
        <v>2.3E-2</v>
      </c>
      <c r="R1127">
        <v>127.3</v>
      </c>
      <c r="S1127">
        <v>11</v>
      </c>
      <c r="T1127">
        <v>7306.5</v>
      </c>
      <c r="U1127">
        <v>750</v>
      </c>
      <c r="V1127">
        <v>38.799999999999997</v>
      </c>
      <c r="W1127">
        <v>1.5</v>
      </c>
      <c r="X1127">
        <v>285</v>
      </c>
      <c r="Y1127">
        <v>31</v>
      </c>
    </row>
    <row r="1128" spans="1:25" x14ac:dyDescent="0.25">
      <c r="A1128" t="str">
        <f t="shared" si="17"/>
        <v>2023_SA_Warnertown_Lentil_SatelliteTOSTOS1VarietyKelpieXTWaterTrtRainFedAgronomyDensity_1</v>
      </c>
      <c r="B1128">
        <v>2023033</v>
      </c>
      <c r="C1128" t="s">
        <v>100</v>
      </c>
      <c r="D1128">
        <v>6</v>
      </c>
      <c r="E1128" t="s">
        <v>34</v>
      </c>
      <c r="F1128" t="s">
        <v>133</v>
      </c>
      <c r="G1128" t="s">
        <v>30</v>
      </c>
      <c r="H1128" t="s">
        <v>65</v>
      </c>
      <c r="I1128">
        <v>1</v>
      </c>
      <c r="J1128" t="s">
        <v>98</v>
      </c>
      <c r="K1128" s="1">
        <v>45196</v>
      </c>
      <c r="L1128">
        <v>991.4</v>
      </c>
      <c r="M1128">
        <v>46</v>
      </c>
      <c r="N1128">
        <v>0.5</v>
      </c>
      <c r="O1128">
        <v>2.3E-2</v>
      </c>
      <c r="R1128">
        <v>112</v>
      </c>
      <c r="S1128">
        <v>11</v>
      </c>
      <c r="T1128">
        <v>10522.9</v>
      </c>
      <c r="U1128">
        <v>750</v>
      </c>
      <c r="V1128">
        <v>43.4</v>
      </c>
      <c r="W1128">
        <v>1.5</v>
      </c>
      <c r="X1128">
        <v>454</v>
      </c>
      <c r="Y1128">
        <v>31</v>
      </c>
    </row>
    <row r="1129" spans="1:25" x14ac:dyDescent="0.25">
      <c r="A1129" t="str">
        <f t="shared" si="17"/>
        <v>2023_SA_Warnertown_Lentil_SatelliteTOSTOS2VarietyKelpieXTWaterTrtRainFedAgronomyDensity_1</v>
      </c>
      <c r="B1129">
        <v>2023033</v>
      </c>
      <c r="C1129" t="s">
        <v>100</v>
      </c>
      <c r="D1129">
        <v>6</v>
      </c>
      <c r="E1129" t="s">
        <v>34</v>
      </c>
      <c r="F1129" t="s">
        <v>133</v>
      </c>
      <c r="G1129" t="s">
        <v>30</v>
      </c>
      <c r="H1129" t="s">
        <v>65</v>
      </c>
      <c r="I1129">
        <v>2</v>
      </c>
      <c r="J1129" t="s">
        <v>99</v>
      </c>
      <c r="K1129" s="1">
        <v>45204</v>
      </c>
      <c r="L1129">
        <v>689.9</v>
      </c>
      <c r="M1129">
        <v>46</v>
      </c>
      <c r="N1129">
        <v>0.4</v>
      </c>
      <c r="O1129">
        <v>2.3E-2</v>
      </c>
      <c r="R1129">
        <v>82.4</v>
      </c>
      <c r="S1129">
        <v>11</v>
      </c>
      <c r="T1129">
        <v>7202.5</v>
      </c>
      <c r="U1129">
        <v>750</v>
      </c>
      <c r="V1129">
        <v>40.700000000000003</v>
      </c>
      <c r="W1129">
        <v>1.5</v>
      </c>
      <c r="X1129">
        <v>293</v>
      </c>
      <c r="Y1129">
        <v>31</v>
      </c>
    </row>
    <row r="1130" spans="1:25" hidden="1" x14ac:dyDescent="0.25">
      <c r="A1130" t="str">
        <f t="shared" si="17"/>
        <v>2023_Vic_Ouyen_Chickpea_SatelliteTOSTOS1VarietyCBA_CaptainWaterTrtRainFed</v>
      </c>
      <c r="B1130">
        <v>2023034</v>
      </c>
      <c r="C1130" t="s">
        <v>101</v>
      </c>
      <c r="D1130">
        <v>6</v>
      </c>
      <c r="E1130" t="s">
        <v>34</v>
      </c>
      <c r="F1130" t="s">
        <v>26</v>
      </c>
      <c r="G1130" t="s">
        <v>30</v>
      </c>
      <c r="I1130">
        <v>1</v>
      </c>
      <c r="J1130" t="s">
        <v>102</v>
      </c>
      <c r="K1130" s="1">
        <v>45239</v>
      </c>
      <c r="L1130">
        <v>251.42857142857099</v>
      </c>
      <c r="M1130">
        <v>15</v>
      </c>
      <c r="N1130">
        <v>0.46483910885389601</v>
      </c>
      <c r="O1130">
        <v>0.01</v>
      </c>
      <c r="R1130">
        <v>44.6</v>
      </c>
      <c r="S1130">
        <v>2.8</v>
      </c>
      <c r="T1130">
        <v>524.13311904384602</v>
      </c>
      <c r="U1130">
        <v>40</v>
      </c>
      <c r="V1130">
        <v>222.1</v>
      </c>
      <c r="W1130">
        <v>5.5</v>
      </c>
      <c r="X1130">
        <v>116.334640408724</v>
      </c>
      <c r="Y1130">
        <v>7.1</v>
      </c>
    </row>
    <row r="1131" spans="1:25" hidden="1" x14ac:dyDescent="0.25">
      <c r="A1131" t="str">
        <f t="shared" si="17"/>
        <v>2023_Vic_Ouyen_Chickpea_SatelliteTOSTOS2VarietyCBA_CaptainWaterTrtRainFed</v>
      </c>
      <c r="B1131">
        <v>2023034</v>
      </c>
      <c r="C1131" t="s">
        <v>101</v>
      </c>
      <c r="D1131">
        <v>6</v>
      </c>
      <c r="E1131" t="s">
        <v>34</v>
      </c>
      <c r="F1131" t="s">
        <v>26</v>
      </c>
      <c r="G1131" t="s">
        <v>30</v>
      </c>
      <c r="I1131">
        <v>2</v>
      </c>
      <c r="J1131" t="s">
        <v>103</v>
      </c>
      <c r="K1131" s="1">
        <v>45239</v>
      </c>
      <c r="L1131">
        <v>227.689732142857</v>
      </c>
      <c r="M1131">
        <v>15</v>
      </c>
      <c r="N1131">
        <v>0.52989933507975395</v>
      </c>
      <c r="O1131">
        <v>0.01</v>
      </c>
      <c r="R1131">
        <v>37.700000000000003</v>
      </c>
      <c r="S1131">
        <v>2.8</v>
      </c>
      <c r="T1131">
        <v>625.27868489104799</v>
      </c>
      <c r="U1131">
        <v>40</v>
      </c>
      <c r="V1131">
        <v>193.5</v>
      </c>
      <c r="W1131">
        <v>5.5</v>
      </c>
      <c r="X1131">
        <v>120.83460952084199</v>
      </c>
      <c r="Y1131">
        <v>7.1</v>
      </c>
    </row>
    <row r="1132" spans="1:25" hidden="1" x14ac:dyDescent="0.25">
      <c r="A1132" t="str">
        <f t="shared" si="17"/>
        <v>2023_Vic_Ouyen_Chickpea_SatelliteTOSTOS1VarietyDrummondWaterTrtRainFed</v>
      </c>
      <c r="B1132">
        <v>2023034</v>
      </c>
      <c r="C1132" t="s">
        <v>101</v>
      </c>
      <c r="D1132">
        <v>6</v>
      </c>
      <c r="E1132" t="s">
        <v>34</v>
      </c>
      <c r="F1132" t="s">
        <v>123</v>
      </c>
      <c r="G1132" t="s">
        <v>30</v>
      </c>
      <c r="I1132">
        <v>1</v>
      </c>
      <c r="J1132" t="s">
        <v>102</v>
      </c>
      <c r="K1132" s="1">
        <v>45239</v>
      </c>
      <c r="L1132">
        <v>270.97544642857099</v>
      </c>
      <c r="M1132">
        <v>15</v>
      </c>
      <c r="N1132">
        <v>0.46668397410346901</v>
      </c>
      <c r="O1132">
        <v>0.01</v>
      </c>
      <c r="R1132">
        <v>46.2</v>
      </c>
      <c r="S1132">
        <v>2.8</v>
      </c>
      <c r="T1132">
        <v>539.67584017960201</v>
      </c>
      <c r="U1132">
        <v>40</v>
      </c>
      <c r="V1132">
        <v>234.9</v>
      </c>
      <c r="W1132">
        <v>5.5</v>
      </c>
      <c r="X1132">
        <v>126.306086649169</v>
      </c>
      <c r="Y1132">
        <v>7.1</v>
      </c>
    </row>
    <row r="1133" spans="1:25" hidden="1" x14ac:dyDescent="0.25">
      <c r="A1133" t="str">
        <f t="shared" si="17"/>
        <v>2023_Vic_Ouyen_Chickpea_SatelliteTOSTOS2VarietyDrummondWaterTrtRainFed</v>
      </c>
      <c r="B1133">
        <v>2023034</v>
      </c>
      <c r="C1133" t="s">
        <v>101</v>
      </c>
      <c r="D1133">
        <v>6</v>
      </c>
      <c r="E1133" t="s">
        <v>34</v>
      </c>
      <c r="F1133" t="s">
        <v>123</v>
      </c>
      <c r="G1133" t="s">
        <v>30</v>
      </c>
      <c r="I1133">
        <v>2</v>
      </c>
      <c r="J1133" t="s">
        <v>103</v>
      </c>
      <c r="K1133" s="1">
        <v>45239</v>
      </c>
      <c r="L1133">
        <v>212.50669642857099</v>
      </c>
      <c r="M1133">
        <v>15</v>
      </c>
      <c r="N1133">
        <v>0.50807994878266804</v>
      </c>
      <c r="O1133">
        <v>0.01</v>
      </c>
      <c r="R1133">
        <v>46</v>
      </c>
      <c r="S1133">
        <v>2.8</v>
      </c>
      <c r="T1133">
        <v>588.65363465885798</v>
      </c>
      <c r="U1133">
        <v>40</v>
      </c>
      <c r="V1133">
        <v>185.7</v>
      </c>
      <c r="W1133">
        <v>5.5</v>
      </c>
      <c r="X1133">
        <v>108.037205282597</v>
      </c>
      <c r="Y1133">
        <v>7.1</v>
      </c>
    </row>
    <row r="1134" spans="1:25" hidden="1" x14ac:dyDescent="0.25">
      <c r="A1134" t="str">
        <f t="shared" si="17"/>
        <v>2023_Vic_Ouyen_Chickpea_SatelliteTOSTOS1VarietyHatTrickWaterTrtRainFed</v>
      </c>
      <c r="B1134">
        <v>2023034</v>
      </c>
      <c r="C1134" t="s">
        <v>101</v>
      </c>
      <c r="D1134">
        <v>6</v>
      </c>
      <c r="E1134" t="s">
        <v>34</v>
      </c>
      <c r="F1134" t="s">
        <v>124</v>
      </c>
      <c r="G1134" t="s">
        <v>30</v>
      </c>
      <c r="I1134">
        <v>1</v>
      </c>
      <c r="J1134" t="s">
        <v>102</v>
      </c>
      <c r="K1134" s="1">
        <v>45239</v>
      </c>
      <c r="L1134">
        <v>233.77976190476201</v>
      </c>
      <c r="M1134">
        <v>15</v>
      </c>
      <c r="N1134">
        <v>0.46001708907012501</v>
      </c>
      <c r="O1134">
        <v>0.01</v>
      </c>
      <c r="R1134">
        <v>47.1</v>
      </c>
      <c r="S1134">
        <v>2.8</v>
      </c>
      <c r="T1134">
        <v>517.54895339641701</v>
      </c>
      <c r="U1134">
        <v>40</v>
      </c>
      <c r="V1134">
        <v>212.3</v>
      </c>
      <c r="W1134">
        <v>5.5</v>
      </c>
      <c r="X1134">
        <v>108.115518247124</v>
      </c>
      <c r="Y1134">
        <v>7.1</v>
      </c>
    </row>
    <row r="1135" spans="1:25" hidden="1" x14ac:dyDescent="0.25">
      <c r="A1135" t="str">
        <f t="shared" si="17"/>
        <v>2023_Vic_Ouyen_Chickpea_SatelliteTOSTOS2VarietyHatTrickWaterTrtRainFed</v>
      </c>
      <c r="B1135">
        <v>2023034</v>
      </c>
      <c r="C1135" t="s">
        <v>101</v>
      </c>
      <c r="D1135">
        <v>6</v>
      </c>
      <c r="E1135" t="s">
        <v>34</v>
      </c>
      <c r="F1135" t="s">
        <v>124</v>
      </c>
      <c r="G1135" t="s">
        <v>30</v>
      </c>
      <c r="I1135">
        <v>2</v>
      </c>
      <c r="J1135" t="s">
        <v>103</v>
      </c>
      <c r="K1135" s="1">
        <v>45239</v>
      </c>
      <c r="L1135">
        <v>178.47767857142901</v>
      </c>
      <c r="M1135">
        <v>15</v>
      </c>
      <c r="N1135">
        <v>0.47455938445055901</v>
      </c>
      <c r="O1135">
        <v>0.01</v>
      </c>
      <c r="R1135">
        <v>39.700000000000003</v>
      </c>
      <c r="S1135">
        <v>2.8</v>
      </c>
      <c r="T1135">
        <v>516.24846139391798</v>
      </c>
      <c r="U1135">
        <v>40</v>
      </c>
      <c r="V1135">
        <v>166.8</v>
      </c>
      <c r="W1135">
        <v>5.5</v>
      </c>
      <c r="X1135">
        <v>85.055930457431202</v>
      </c>
      <c r="Y1135">
        <v>7.1</v>
      </c>
    </row>
    <row r="1136" spans="1:25" hidden="1" x14ac:dyDescent="0.25">
      <c r="A1136" t="str">
        <f t="shared" si="17"/>
        <v>2023_Vic_Ouyen_Chickpea_SatelliteTOSTOS1VarietyStrikerWaterTrtRainFed</v>
      </c>
      <c r="B1136">
        <v>2023034</v>
      </c>
      <c r="C1136" t="s">
        <v>101</v>
      </c>
      <c r="D1136">
        <v>6</v>
      </c>
      <c r="E1136" t="s">
        <v>34</v>
      </c>
      <c r="F1136" t="s">
        <v>125</v>
      </c>
      <c r="G1136" t="s">
        <v>30</v>
      </c>
      <c r="I1136">
        <v>1</v>
      </c>
      <c r="J1136" t="s">
        <v>102</v>
      </c>
      <c r="K1136" s="1">
        <v>45239</v>
      </c>
      <c r="L1136">
        <v>236.138392857143</v>
      </c>
      <c r="M1136">
        <v>15</v>
      </c>
      <c r="N1136">
        <v>0.51009957391733196</v>
      </c>
      <c r="O1136">
        <v>0.01</v>
      </c>
      <c r="R1136">
        <v>44.4</v>
      </c>
      <c r="S1136">
        <v>2.8</v>
      </c>
      <c r="T1136">
        <v>509.48120717525302</v>
      </c>
      <c r="U1136">
        <v>40</v>
      </c>
      <c r="V1136">
        <v>237.4</v>
      </c>
      <c r="W1136">
        <v>5.5</v>
      </c>
      <c r="X1136">
        <v>120.297888697003</v>
      </c>
      <c r="Y1136">
        <v>7.1</v>
      </c>
    </row>
    <row r="1137" spans="1:25" hidden="1" x14ac:dyDescent="0.25">
      <c r="A1137" t="str">
        <f t="shared" si="17"/>
        <v>2023_Vic_Ouyen_Chickpea_SatelliteTOSTOS2VarietyStrikerWaterTrtRainFed</v>
      </c>
      <c r="B1137">
        <v>2023034</v>
      </c>
      <c r="C1137" t="s">
        <v>101</v>
      </c>
      <c r="D1137">
        <v>6</v>
      </c>
      <c r="E1137" t="s">
        <v>34</v>
      </c>
      <c r="F1137" t="s">
        <v>125</v>
      </c>
      <c r="G1137" t="s">
        <v>30</v>
      </c>
      <c r="I1137">
        <v>2</v>
      </c>
      <c r="J1137" t="s">
        <v>103</v>
      </c>
      <c r="K1137" s="1">
        <v>45239</v>
      </c>
      <c r="L1137">
        <v>215.138392857143</v>
      </c>
      <c r="M1137">
        <v>15</v>
      </c>
      <c r="N1137">
        <v>0.564906193770774</v>
      </c>
      <c r="O1137">
        <v>0.01</v>
      </c>
      <c r="R1137">
        <v>44.2</v>
      </c>
      <c r="S1137">
        <v>2.8</v>
      </c>
      <c r="T1137">
        <v>631.30805149082198</v>
      </c>
      <c r="U1137">
        <v>40</v>
      </c>
      <c r="V1137">
        <v>194.2</v>
      </c>
      <c r="W1137">
        <v>5.5</v>
      </c>
      <c r="X1137">
        <v>120.962090967842</v>
      </c>
      <c r="Y1137">
        <v>7.1</v>
      </c>
    </row>
    <row r="1138" spans="1:25" x14ac:dyDescent="0.25">
      <c r="A1138" t="str">
        <f t="shared" si="17"/>
        <v>2023_Vic_Ouyen_Lentil_SatelliteTOSTOS1VarietyBoltWaterTrtRainFed</v>
      </c>
      <c r="B1138">
        <v>2023035</v>
      </c>
      <c r="C1138" t="s">
        <v>104</v>
      </c>
      <c r="D1138">
        <v>6</v>
      </c>
      <c r="E1138" t="s">
        <v>34</v>
      </c>
      <c r="F1138" t="s">
        <v>130</v>
      </c>
      <c r="G1138" t="s">
        <v>30</v>
      </c>
      <c r="I1138">
        <v>1</v>
      </c>
      <c r="J1138" t="s">
        <v>102</v>
      </c>
      <c r="K1138" s="1">
        <v>45214</v>
      </c>
      <c r="L1138">
        <v>260.111607142857</v>
      </c>
      <c r="M1138">
        <v>15</v>
      </c>
      <c r="N1138">
        <v>0.33171599854277001</v>
      </c>
      <c r="O1138">
        <v>4.2000000000000003E-2</v>
      </c>
      <c r="R1138">
        <v>117.2</v>
      </c>
      <c r="S1138">
        <v>8.3000000000000007</v>
      </c>
      <c r="T1138">
        <v>2410.1719556439598</v>
      </c>
      <c r="U1138">
        <v>260</v>
      </c>
      <c r="V1138">
        <v>36.200000000000003</v>
      </c>
      <c r="W1138">
        <v>2</v>
      </c>
      <c r="X1138">
        <v>86.587255169028296</v>
      </c>
      <c r="Y1138">
        <v>12</v>
      </c>
    </row>
    <row r="1139" spans="1:25" x14ac:dyDescent="0.25">
      <c r="A1139" t="str">
        <f t="shared" si="17"/>
        <v>2023_Vic_Ouyen_Lentil_SatelliteTOSTOS2VarietyBoltWaterTrtRainFed</v>
      </c>
      <c r="B1139">
        <v>2023035</v>
      </c>
      <c r="C1139" t="s">
        <v>104</v>
      </c>
      <c r="D1139">
        <v>6</v>
      </c>
      <c r="E1139" t="s">
        <v>34</v>
      </c>
      <c r="F1139" t="s">
        <v>130</v>
      </c>
      <c r="G1139" t="s">
        <v>30</v>
      </c>
      <c r="I1139">
        <v>2</v>
      </c>
      <c r="J1139" t="s">
        <v>103</v>
      </c>
      <c r="K1139" s="1">
        <v>45239</v>
      </c>
      <c r="L1139">
        <v>249.51205357142899</v>
      </c>
      <c r="M1139">
        <v>15</v>
      </c>
      <c r="N1139">
        <v>0.45328381399722301</v>
      </c>
      <c r="O1139">
        <v>4.2000000000000003E-2</v>
      </c>
      <c r="R1139">
        <v>123</v>
      </c>
      <c r="S1139">
        <v>8.3000000000000007</v>
      </c>
      <c r="T1139">
        <v>2450.7240851003398</v>
      </c>
      <c r="U1139">
        <v>260</v>
      </c>
      <c r="V1139">
        <v>46.1</v>
      </c>
      <c r="W1139">
        <v>2</v>
      </c>
      <c r="X1139">
        <v>112.747233706842</v>
      </c>
      <c r="Y1139">
        <v>12</v>
      </c>
    </row>
    <row r="1140" spans="1:25" x14ac:dyDescent="0.25">
      <c r="A1140" t="str">
        <f t="shared" si="17"/>
        <v>2023_Vic_Ouyen_Lentil_SatelliteTOSTOS1VarietyHallmarkXTWaterTrtRainFed</v>
      </c>
      <c r="B1140">
        <v>2023035</v>
      </c>
      <c r="C1140" t="s">
        <v>104</v>
      </c>
      <c r="D1140">
        <v>6</v>
      </c>
      <c r="E1140" t="s">
        <v>34</v>
      </c>
      <c r="F1140" t="s">
        <v>131</v>
      </c>
      <c r="G1140" t="s">
        <v>30</v>
      </c>
      <c r="I1140">
        <v>1</v>
      </c>
      <c r="J1140" t="s">
        <v>102</v>
      </c>
      <c r="K1140" s="1">
        <v>45223</v>
      </c>
      <c r="L1140">
        <v>245.982142857143</v>
      </c>
      <c r="M1140">
        <v>15</v>
      </c>
      <c r="N1140">
        <v>0.34208349709656699</v>
      </c>
      <c r="O1140">
        <v>4.2000000000000003E-2</v>
      </c>
      <c r="R1140">
        <v>110.9</v>
      </c>
      <c r="S1140">
        <v>8.3000000000000007</v>
      </c>
      <c r="T1140">
        <v>2612.5767616629701</v>
      </c>
      <c r="U1140">
        <v>260</v>
      </c>
      <c r="V1140">
        <v>31.9</v>
      </c>
      <c r="W1140">
        <v>2</v>
      </c>
      <c r="X1140">
        <v>84.638826373528303</v>
      </c>
      <c r="Y1140">
        <v>12</v>
      </c>
    </row>
    <row r="1141" spans="1:25" x14ac:dyDescent="0.25">
      <c r="A1141" t="str">
        <f t="shared" si="17"/>
        <v>2023_Vic_Ouyen_Lentil_SatelliteTOSTOS2VarietyHallmarkXTWaterTrtRainFed</v>
      </c>
      <c r="B1141">
        <v>2023035</v>
      </c>
      <c r="C1141" t="s">
        <v>104</v>
      </c>
      <c r="D1141">
        <v>6</v>
      </c>
      <c r="E1141" t="s">
        <v>34</v>
      </c>
      <c r="F1141" t="s">
        <v>131</v>
      </c>
      <c r="G1141" t="s">
        <v>30</v>
      </c>
      <c r="I1141">
        <v>2</v>
      </c>
      <c r="J1141" t="s">
        <v>103</v>
      </c>
      <c r="K1141" s="1">
        <v>45239</v>
      </c>
      <c r="L1141">
        <v>261.494196428571</v>
      </c>
      <c r="M1141">
        <v>15</v>
      </c>
      <c r="N1141">
        <v>0.42776688693986997</v>
      </c>
      <c r="O1141">
        <v>4.2000000000000003E-2</v>
      </c>
      <c r="R1141">
        <v>117.9</v>
      </c>
      <c r="S1141">
        <v>8.3000000000000007</v>
      </c>
      <c r="T1141">
        <v>3152.1284256070498</v>
      </c>
      <c r="U1141">
        <v>260</v>
      </c>
      <c r="V1141">
        <v>35.4</v>
      </c>
      <c r="W1141">
        <v>2</v>
      </c>
      <c r="X1141">
        <v>111.267640761812</v>
      </c>
      <c r="Y1141">
        <v>12</v>
      </c>
    </row>
    <row r="1142" spans="1:25" x14ac:dyDescent="0.25">
      <c r="A1142" t="str">
        <f t="shared" si="17"/>
        <v>2023_Vic_Ouyen_Lentil_SatelliteTOSTOS1VarietyJumbo2WaterTrtRainFed</v>
      </c>
      <c r="B1142">
        <v>2023035</v>
      </c>
      <c r="C1142" t="s">
        <v>104</v>
      </c>
      <c r="D1142">
        <v>6</v>
      </c>
      <c r="E1142" t="s">
        <v>34</v>
      </c>
      <c r="F1142" t="s">
        <v>132</v>
      </c>
      <c r="G1142" t="s">
        <v>30</v>
      </c>
      <c r="I1142">
        <v>1</v>
      </c>
      <c r="J1142" t="s">
        <v>102</v>
      </c>
      <c r="K1142" s="1">
        <v>45223</v>
      </c>
      <c r="L1142">
        <v>263.28125</v>
      </c>
      <c r="M1142">
        <v>15</v>
      </c>
      <c r="N1142">
        <v>0.393104524998037</v>
      </c>
      <c r="O1142">
        <v>4.2000000000000003E-2</v>
      </c>
      <c r="R1142">
        <v>109.6</v>
      </c>
      <c r="S1142">
        <v>8.3000000000000007</v>
      </c>
      <c r="T1142">
        <v>2397.4804934392901</v>
      </c>
      <c r="U1142">
        <v>260</v>
      </c>
      <c r="V1142">
        <v>42.7</v>
      </c>
      <c r="W1142">
        <v>2</v>
      </c>
      <c r="X1142">
        <v>102.671232493563</v>
      </c>
      <c r="Y1142">
        <v>12</v>
      </c>
    </row>
    <row r="1143" spans="1:25" x14ac:dyDescent="0.25">
      <c r="A1143" t="str">
        <f t="shared" si="17"/>
        <v>2023_Vic_Ouyen_Lentil_SatelliteTOSTOS2VarietyJumbo2WaterTrtRainFed</v>
      </c>
      <c r="B1143">
        <v>2023035</v>
      </c>
      <c r="C1143" t="s">
        <v>104</v>
      </c>
      <c r="D1143">
        <v>6</v>
      </c>
      <c r="E1143" t="s">
        <v>34</v>
      </c>
      <c r="F1143" t="s">
        <v>132</v>
      </c>
      <c r="G1143" t="s">
        <v>30</v>
      </c>
      <c r="I1143">
        <v>2</v>
      </c>
      <c r="J1143" t="s">
        <v>103</v>
      </c>
      <c r="K1143" s="1">
        <v>45239</v>
      </c>
      <c r="L1143">
        <v>244.945089285714</v>
      </c>
      <c r="M1143">
        <v>15</v>
      </c>
      <c r="N1143">
        <v>0.524154455353533</v>
      </c>
      <c r="O1143">
        <v>4.2000000000000003E-2</v>
      </c>
      <c r="R1143">
        <v>110</v>
      </c>
      <c r="S1143">
        <v>8.3000000000000007</v>
      </c>
      <c r="T1143">
        <v>2343.7309901808999</v>
      </c>
      <c r="U1143">
        <v>260</v>
      </c>
      <c r="V1143">
        <v>54.7</v>
      </c>
      <c r="W1143">
        <v>2</v>
      </c>
      <c r="X1143">
        <v>128.10157448900199</v>
      </c>
      <c r="Y1143">
        <v>12</v>
      </c>
    </row>
    <row r="1144" spans="1:25" x14ac:dyDescent="0.25">
      <c r="A1144" t="str">
        <f t="shared" si="17"/>
        <v>2023_Vic_Ouyen_Lentil_SatelliteTOSTOS1VarietyKelpieXTWaterTrtRainFed</v>
      </c>
      <c r="B1144">
        <v>2023035</v>
      </c>
      <c r="C1144" t="s">
        <v>104</v>
      </c>
      <c r="D1144">
        <v>6</v>
      </c>
      <c r="E1144" t="s">
        <v>34</v>
      </c>
      <c r="F1144" t="s">
        <v>133</v>
      </c>
      <c r="G1144" t="s">
        <v>30</v>
      </c>
      <c r="I1144">
        <v>1</v>
      </c>
      <c r="J1144" t="s">
        <v>102</v>
      </c>
      <c r="K1144" s="1">
        <v>45214</v>
      </c>
      <c r="L1144">
        <v>222.09821428571399</v>
      </c>
      <c r="M1144">
        <v>15</v>
      </c>
      <c r="N1144">
        <v>0.46685864885862599</v>
      </c>
      <c r="O1144">
        <v>4.2000000000000003E-2</v>
      </c>
      <c r="R1144">
        <v>107.1</v>
      </c>
      <c r="S1144">
        <v>8.3000000000000007</v>
      </c>
      <c r="T1144">
        <v>2562.8683353594802</v>
      </c>
      <c r="U1144">
        <v>260</v>
      </c>
      <c r="V1144">
        <v>40.700000000000003</v>
      </c>
      <c r="W1144">
        <v>2</v>
      </c>
      <c r="X1144">
        <v>105.228647233549</v>
      </c>
      <c r="Y1144">
        <v>12</v>
      </c>
    </row>
    <row r="1145" spans="1:25" x14ac:dyDescent="0.25">
      <c r="A1145" t="str">
        <f t="shared" si="17"/>
        <v>2023_Vic_Ouyen_Lentil_SatelliteTOSTOS2VarietyKelpieXTWaterTrtRainFed</v>
      </c>
      <c r="B1145">
        <v>2023035</v>
      </c>
      <c r="C1145" t="s">
        <v>104</v>
      </c>
      <c r="D1145">
        <v>6</v>
      </c>
      <c r="E1145" t="s">
        <v>34</v>
      </c>
      <c r="F1145" t="s">
        <v>133</v>
      </c>
      <c r="G1145" t="s">
        <v>30</v>
      </c>
      <c r="I1145">
        <v>2</v>
      </c>
      <c r="J1145" t="s">
        <v>103</v>
      </c>
      <c r="K1145" s="1">
        <v>45239</v>
      </c>
      <c r="L1145">
        <v>234.98526785714299</v>
      </c>
      <c r="M1145">
        <v>15</v>
      </c>
      <c r="N1145">
        <v>0.48455003092075399</v>
      </c>
      <c r="O1145">
        <v>4.9000000000000002E-2</v>
      </c>
      <c r="R1145">
        <v>118.7</v>
      </c>
      <c r="S1145">
        <v>8.3000000000000007</v>
      </c>
      <c r="T1145">
        <v>2155.8872868922299</v>
      </c>
      <c r="U1145">
        <v>260</v>
      </c>
      <c r="V1145">
        <v>52.8</v>
      </c>
      <c r="W1145">
        <v>2</v>
      </c>
      <c r="X1145">
        <v>113.86795709268</v>
      </c>
      <c r="Y1145">
        <v>12</v>
      </c>
    </row>
    <row r="1146" spans="1:25" hidden="1" x14ac:dyDescent="0.25">
      <c r="A1146" t="str">
        <f t="shared" si="17"/>
        <v>2024_Qld_Gatton_Chickpea_DetailedTOSTOS1VarietyCBA_CaptainWaterTrtIrrigated</v>
      </c>
      <c r="B1146">
        <v>2024037</v>
      </c>
      <c r="C1146" t="s">
        <v>105</v>
      </c>
      <c r="D1146">
        <v>2</v>
      </c>
      <c r="E1146" t="s">
        <v>25</v>
      </c>
      <c r="F1146" t="s">
        <v>26</v>
      </c>
      <c r="G1146" t="s">
        <v>27</v>
      </c>
      <c r="I1146">
        <v>1</v>
      </c>
      <c r="J1146" t="s">
        <v>106</v>
      </c>
      <c r="K1146" s="1">
        <v>45461</v>
      </c>
      <c r="L1146">
        <v>24.1</v>
      </c>
      <c r="M1146">
        <v>1.7</v>
      </c>
    </row>
    <row r="1147" spans="1:25" hidden="1" x14ac:dyDescent="0.25">
      <c r="A1147" t="str">
        <f t="shared" si="17"/>
        <v>2024_Qld_Gatton_Chickpea_DetailedTOSTOS2VarietyCBA_CaptainWaterTrtIrrigated</v>
      </c>
      <c r="B1147">
        <v>2024037</v>
      </c>
      <c r="C1147" t="s">
        <v>105</v>
      </c>
      <c r="D1147">
        <v>2</v>
      </c>
      <c r="E1147" t="s">
        <v>25</v>
      </c>
      <c r="F1147" t="s">
        <v>26</v>
      </c>
      <c r="G1147" t="s">
        <v>27</v>
      </c>
      <c r="I1147">
        <v>2</v>
      </c>
      <c r="J1147" t="s">
        <v>107</v>
      </c>
      <c r="K1147" s="1">
        <v>45499</v>
      </c>
      <c r="L1147">
        <v>41.7</v>
      </c>
      <c r="M1147">
        <v>1.7</v>
      </c>
    </row>
    <row r="1148" spans="1:25" hidden="1" x14ac:dyDescent="0.25">
      <c r="A1148" t="str">
        <f t="shared" si="17"/>
        <v>2024_Qld_Gatton_Chickpea_DetailedTOSTOS1VarietyCBA_CaptainWaterTrtRainFed</v>
      </c>
      <c r="B1148">
        <v>2024037</v>
      </c>
      <c r="C1148" t="s">
        <v>105</v>
      </c>
      <c r="D1148">
        <v>2</v>
      </c>
      <c r="E1148" t="s">
        <v>25</v>
      </c>
      <c r="F1148" t="s">
        <v>26</v>
      </c>
      <c r="G1148" t="s">
        <v>30</v>
      </c>
      <c r="I1148">
        <v>1</v>
      </c>
      <c r="J1148" t="s">
        <v>106</v>
      </c>
      <c r="K1148" s="1">
        <v>45461</v>
      </c>
      <c r="L1148">
        <v>27.2</v>
      </c>
      <c r="M1148">
        <v>1.7</v>
      </c>
    </row>
    <row r="1149" spans="1:25" hidden="1" x14ac:dyDescent="0.25">
      <c r="A1149" t="str">
        <f t="shared" si="17"/>
        <v>2024_Qld_Gatton_Chickpea_DetailedTOSTOS2VarietyCBA_CaptainWaterTrtRainFed</v>
      </c>
      <c r="B1149">
        <v>2024037</v>
      </c>
      <c r="C1149" t="s">
        <v>105</v>
      </c>
      <c r="D1149">
        <v>2</v>
      </c>
      <c r="E1149" t="s">
        <v>25</v>
      </c>
      <c r="F1149" t="s">
        <v>26</v>
      </c>
      <c r="G1149" t="s">
        <v>30</v>
      </c>
      <c r="I1149">
        <v>2</v>
      </c>
      <c r="J1149" t="s">
        <v>107</v>
      </c>
      <c r="K1149" s="1">
        <v>45499</v>
      </c>
      <c r="L1149">
        <v>40</v>
      </c>
      <c r="M1149">
        <v>1.7</v>
      </c>
    </row>
    <row r="1150" spans="1:25" hidden="1" x14ac:dyDescent="0.25">
      <c r="A1150" t="str">
        <f t="shared" si="17"/>
        <v>2024_Qld_Gatton_Chickpea_DetailedTOSTOS1VarietyDrummondWaterTrtIrrigated</v>
      </c>
      <c r="B1150">
        <v>2024037</v>
      </c>
      <c r="C1150" t="s">
        <v>105</v>
      </c>
      <c r="D1150">
        <v>2</v>
      </c>
      <c r="E1150" t="s">
        <v>25</v>
      </c>
      <c r="F1150" t="s">
        <v>123</v>
      </c>
      <c r="G1150" t="s">
        <v>27</v>
      </c>
      <c r="I1150">
        <v>1</v>
      </c>
      <c r="J1150" t="s">
        <v>106</v>
      </c>
      <c r="K1150" s="1">
        <v>45461</v>
      </c>
      <c r="L1150">
        <v>20.399999999999999</v>
      </c>
      <c r="M1150">
        <v>1.7</v>
      </c>
    </row>
    <row r="1151" spans="1:25" hidden="1" x14ac:dyDescent="0.25">
      <c r="A1151" t="str">
        <f t="shared" si="17"/>
        <v>2024_Qld_Gatton_Chickpea_DetailedTOSTOS2VarietyDrummondWaterTrtIrrigated</v>
      </c>
      <c r="B1151">
        <v>2024037</v>
      </c>
      <c r="C1151" t="s">
        <v>105</v>
      </c>
      <c r="D1151">
        <v>2</v>
      </c>
      <c r="E1151" t="s">
        <v>25</v>
      </c>
      <c r="F1151" t="s">
        <v>123</v>
      </c>
      <c r="G1151" t="s">
        <v>27</v>
      </c>
      <c r="I1151">
        <v>2</v>
      </c>
      <c r="J1151" t="s">
        <v>107</v>
      </c>
      <c r="K1151" s="1">
        <v>45499</v>
      </c>
      <c r="L1151">
        <v>37.700000000000003</v>
      </c>
      <c r="M1151">
        <v>1.7</v>
      </c>
    </row>
    <row r="1152" spans="1:25" hidden="1" x14ac:dyDescent="0.25">
      <c r="A1152" t="str">
        <f t="shared" si="17"/>
        <v>2024_Qld_Gatton_Chickpea_DetailedTOSTOS1VarietyDrummondWaterTrtRainFed</v>
      </c>
      <c r="B1152">
        <v>2024037</v>
      </c>
      <c r="C1152" t="s">
        <v>105</v>
      </c>
      <c r="D1152">
        <v>2</v>
      </c>
      <c r="E1152" t="s">
        <v>25</v>
      </c>
      <c r="F1152" t="s">
        <v>123</v>
      </c>
      <c r="G1152" t="s">
        <v>30</v>
      </c>
      <c r="I1152">
        <v>1</v>
      </c>
      <c r="J1152" t="s">
        <v>106</v>
      </c>
      <c r="K1152" s="1">
        <v>45461</v>
      </c>
      <c r="L1152">
        <v>20.9</v>
      </c>
      <c r="M1152">
        <v>1.7</v>
      </c>
    </row>
    <row r="1153" spans="1:13" hidden="1" x14ac:dyDescent="0.25">
      <c r="A1153" t="str">
        <f t="shared" si="17"/>
        <v>2024_Qld_Gatton_Chickpea_DetailedTOSTOS2VarietyDrummondWaterTrtRainFed</v>
      </c>
      <c r="B1153">
        <v>2024037</v>
      </c>
      <c r="C1153" t="s">
        <v>105</v>
      </c>
      <c r="D1153">
        <v>2</v>
      </c>
      <c r="E1153" t="s">
        <v>25</v>
      </c>
      <c r="F1153" t="s">
        <v>123</v>
      </c>
      <c r="G1153" t="s">
        <v>30</v>
      </c>
      <c r="I1153">
        <v>2</v>
      </c>
      <c r="J1153" t="s">
        <v>107</v>
      </c>
      <c r="K1153" s="1">
        <v>45499</v>
      </c>
      <c r="L1153">
        <v>37.299999999999997</v>
      </c>
      <c r="M1153">
        <v>1.7</v>
      </c>
    </row>
    <row r="1154" spans="1:13" hidden="1" x14ac:dyDescent="0.25">
      <c r="A1154" t="str">
        <f t="shared" si="17"/>
        <v>2024_Qld_Gatton_Chickpea_DetailedTOSTOS1VarietyHatTrickWaterTrtIrrigated</v>
      </c>
      <c r="B1154">
        <v>2024037</v>
      </c>
      <c r="C1154" t="s">
        <v>105</v>
      </c>
      <c r="D1154">
        <v>2</v>
      </c>
      <c r="E1154" t="s">
        <v>25</v>
      </c>
      <c r="F1154" t="s">
        <v>124</v>
      </c>
      <c r="G1154" t="s">
        <v>27</v>
      </c>
      <c r="I1154">
        <v>1</v>
      </c>
      <c r="J1154" t="s">
        <v>106</v>
      </c>
      <c r="K1154" s="1">
        <v>45461</v>
      </c>
      <c r="L1154">
        <v>20</v>
      </c>
      <c r="M1154">
        <v>1.7</v>
      </c>
    </row>
    <row r="1155" spans="1:13" hidden="1" x14ac:dyDescent="0.25">
      <c r="A1155" t="str">
        <f t="shared" ref="A1155:A1218" si="18">C1155&amp;"TOSTOS"&amp;I1155&amp;"Variety"&amp;F1155&amp;"WaterTrt"&amp;G1155&amp;IF(H1155="","","Agronomy"&amp;H1155)</f>
        <v>2024_Qld_Gatton_Chickpea_DetailedTOSTOS2VarietyHatTrickWaterTrtIrrigated</v>
      </c>
      <c r="B1155">
        <v>2024037</v>
      </c>
      <c r="C1155" t="s">
        <v>105</v>
      </c>
      <c r="D1155">
        <v>2</v>
      </c>
      <c r="E1155" t="s">
        <v>25</v>
      </c>
      <c r="F1155" t="s">
        <v>124</v>
      </c>
      <c r="G1155" t="s">
        <v>27</v>
      </c>
      <c r="I1155">
        <v>2</v>
      </c>
      <c r="J1155" t="s">
        <v>107</v>
      </c>
      <c r="K1155" s="1">
        <v>45499</v>
      </c>
      <c r="L1155">
        <v>34.5</v>
      </c>
      <c r="M1155">
        <v>1.7</v>
      </c>
    </row>
    <row r="1156" spans="1:13" hidden="1" x14ac:dyDescent="0.25">
      <c r="A1156" t="str">
        <f t="shared" si="18"/>
        <v>2024_Qld_Gatton_Chickpea_DetailedTOSTOS1VarietyHatTrickWaterTrtRainFed</v>
      </c>
      <c r="B1156">
        <v>2024037</v>
      </c>
      <c r="C1156" t="s">
        <v>105</v>
      </c>
      <c r="D1156">
        <v>2</v>
      </c>
      <c r="E1156" t="s">
        <v>25</v>
      </c>
      <c r="F1156" t="s">
        <v>124</v>
      </c>
      <c r="G1156" t="s">
        <v>30</v>
      </c>
      <c r="I1156">
        <v>1</v>
      </c>
      <c r="J1156" t="s">
        <v>106</v>
      </c>
      <c r="K1156" s="1">
        <v>45461</v>
      </c>
      <c r="L1156">
        <v>21.8</v>
      </c>
      <c r="M1156">
        <v>1.7</v>
      </c>
    </row>
    <row r="1157" spans="1:13" hidden="1" x14ac:dyDescent="0.25">
      <c r="A1157" t="str">
        <f t="shared" si="18"/>
        <v>2024_Qld_Gatton_Chickpea_DetailedTOSTOS2VarietyHatTrickWaterTrtRainFed</v>
      </c>
      <c r="B1157">
        <v>2024037</v>
      </c>
      <c r="C1157" t="s">
        <v>105</v>
      </c>
      <c r="D1157">
        <v>2</v>
      </c>
      <c r="E1157" t="s">
        <v>25</v>
      </c>
      <c r="F1157" t="s">
        <v>124</v>
      </c>
      <c r="G1157" t="s">
        <v>30</v>
      </c>
      <c r="I1157">
        <v>2</v>
      </c>
      <c r="J1157" t="s">
        <v>107</v>
      </c>
      <c r="K1157" s="1">
        <v>45499</v>
      </c>
      <c r="L1157">
        <v>34.299999999999997</v>
      </c>
      <c r="M1157">
        <v>1.7</v>
      </c>
    </row>
    <row r="1158" spans="1:13" hidden="1" x14ac:dyDescent="0.25">
      <c r="A1158" t="str">
        <f t="shared" si="18"/>
        <v>2024_Qld_Gatton_Chickpea_DetailedTOSTOS1VarietyStrikerWaterTrtIrrigated</v>
      </c>
      <c r="B1158">
        <v>2024037</v>
      </c>
      <c r="C1158" t="s">
        <v>105</v>
      </c>
      <c r="D1158">
        <v>2</v>
      </c>
      <c r="E1158" t="s">
        <v>25</v>
      </c>
      <c r="F1158" t="s">
        <v>125</v>
      </c>
      <c r="G1158" t="s">
        <v>27</v>
      </c>
      <c r="I1158">
        <v>1</v>
      </c>
      <c r="J1158" t="s">
        <v>106</v>
      </c>
      <c r="K1158" s="1">
        <v>45461</v>
      </c>
      <c r="L1158">
        <v>24.1</v>
      </c>
      <c r="M1158">
        <v>1.7</v>
      </c>
    </row>
    <row r="1159" spans="1:13" hidden="1" x14ac:dyDescent="0.25">
      <c r="A1159" t="str">
        <f t="shared" si="18"/>
        <v>2024_Qld_Gatton_Chickpea_DetailedTOSTOS2VarietyStrikerWaterTrtIrrigated</v>
      </c>
      <c r="B1159">
        <v>2024037</v>
      </c>
      <c r="C1159" t="s">
        <v>105</v>
      </c>
      <c r="D1159">
        <v>2</v>
      </c>
      <c r="E1159" t="s">
        <v>25</v>
      </c>
      <c r="F1159" t="s">
        <v>125</v>
      </c>
      <c r="G1159" t="s">
        <v>27</v>
      </c>
      <c r="I1159">
        <v>2</v>
      </c>
      <c r="J1159" t="s">
        <v>107</v>
      </c>
      <c r="K1159" s="1">
        <v>45499</v>
      </c>
      <c r="L1159">
        <v>42.2</v>
      </c>
      <c r="M1159">
        <v>1.7</v>
      </c>
    </row>
    <row r="1160" spans="1:13" hidden="1" x14ac:dyDescent="0.25">
      <c r="A1160" t="str">
        <f t="shared" si="18"/>
        <v>2024_Qld_Gatton_Chickpea_DetailedTOSTOS1VarietyStrikerWaterTrtRainFed</v>
      </c>
      <c r="B1160">
        <v>2024037</v>
      </c>
      <c r="C1160" t="s">
        <v>105</v>
      </c>
      <c r="D1160">
        <v>2</v>
      </c>
      <c r="E1160" t="s">
        <v>25</v>
      </c>
      <c r="F1160" t="s">
        <v>125</v>
      </c>
      <c r="G1160" t="s">
        <v>30</v>
      </c>
      <c r="I1160">
        <v>1</v>
      </c>
      <c r="J1160" t="s">
        <v>106</v>
      </c>
      <c r="K1160" s="1">
        <v>45461</v>
      </c>
      <c r="L1160">
        <v>25</v>
      </c>
      <c r="M1160">
        <v>1.7</v>
      </c>
    </row>
    <row r="1161" spans="1:13" hidden="1" x14ac:dyDescent="0.25">
      <c r="A1161" t="str">
        <f t="shared" si="18"/>
        <v>2024_Qld_Gatton_Chickpea_DetailedTOSTOS2VarietyStrikerWaterTrtRainFed</v>
      </c>
      <c r="B1161">
        <v>2024037</v>
      </c>
      <c r="C1161" t="s">
        <v>105</v>
      </c>
      <c r="D1161">
        <v>2</v>
      </c>
      <c r="E1161" t="s">
        <v>25</v>
      </c>
      <c r="F1161" t="s">
        <v>125</v>
      </c>
      <c r="G1161" t="s">
        <v>30</v>
      </c>
      <c r="I1161">
        <v>2</v>
      </c>
      <c r="J1161" t="s">
        <v>107</v>
      </c>
      <c r="K1161" s="1">
        <v>45499</v>
      </c>
      <c r="L1161">
        <v>44.7</v>
      </c>
      <c r="M1161">
        <v>1.7</v>
      </c>
    </row>
    <row r="1162" spans="1:13" hidden="1" x14ac:dyDescent="0.25">
      <c r="A1162" t="str">
        <f t="shared" si="18"/>
        <v>2024_Qld_Gatton_Chickpea_DetailedTOSTOS1VarietyCBA_CaptainWaterTrtIrrigated</v>
      </c>
      <c r="B1162">
        <v>2024037</v>
      </c>
      <c r="C1162" t="s">
        <v>105</v>
      </c>
      <c r="D1162">
        <v>3</v>
      </c>
      <c r="E1162" t="s">
        <v>31</v>
      </c>
      <c r="F1162" t="s">
        <v>26</v>
      </c>
      <c r="G1162" t="s">
        <v>27</v>
      </c>
      <c r="I1162">
        <v>1</v>
      </c>
      <c r="J1162" t="s">
        <v>106</v>
      </c>
      <c r="K1162" s="1">
        <v>45481</v>
      </c>
      <c r="L1162">
        <v>181.5</v>
      </c>
      <c r="M1162">
        <v>10</v>
      </c>
    </row>
    <row r="1163" spans="1:13" hidden="1" x14ac:dyDescent="0.25">
      <c r="A1163" t="str">
        <f t="shared" si="18"/>
        <v>2024_Qld_Gatton_Chickpea_DetailedTOSTOS2VarietyCBA_CaptainWaterTrtIrrigated</v>
      </c>
      <c r="B1163">
        <v>2024037</v>
      </c>
      <c r="C1163" t="s">
        <v>105</v>
      </c>
      <c r="D1163">
        <v>3</v>
      </c>
      <c r="E1163" t="s">
        <v>31</v>
      </c>
      <c r="F1163" t="s">
        <v>26</v>
      </c>
      <c r="G1163" t="s">
        <v>27</v>
      </c>
      <c r="I1163">
        <v>2</v>
      </c>
      <c r="J1163" t="s">
        <v>107</v>
      </c>
      <c r="K1163" s="1">
        <v>45523</v>
      </c>
      <c r="L1163">
        <v>304.2</v>
      </c>
      <c r="M1163">
        <v>10</v>
      </c>
    </row>
    <row r="1164" spans="1:13" hidden="1" x14ac:dyDescent="0.25">
      <c r="A1164" t="str">
        <f t="shared" si="18"/>
        <v>2024_Qld_Gatton_Chickpea_DetailedTOSTOS1VarietyCBA_CaptainWaterTrtRainFed</v>
      </c>
      <c r="B1164">
        <v>2024037</v>
      </c>
      <c r="C1164" t="s">
        <v>105</v>
      </c>
      <c r="D1164">
        <v>3</v>
      </c>
      <c r="E1164" t="s">
        <v>31</v>
      </c>
      <c r="F1164" t="s">
        <v>26</v>
      </c>
      <c r="G1164" t="s">
        <v>30</v>
      </c>
      <c r="I1164">
        <v>1</v>
      </c>
      <c r="J1164" t="s">
        <v>106</v>
      </c>
      <c r="K1164" s="1">
        <v>45481</v>
      </c>
      <c r="L1164">
        <v>195.1</v>
      </c>
      <c r="M1164">
        <v>10</v>
      </c>
    </row>
    <row r="1165" spans="1:13" hidden="1" x14ac:dyDescent="0.25">
      <c r="A1165" t="str">
        <f t="shared" si="18"/>
        <v>2024_Qld_Gatton_Chickpea_DetailedTOSTOS2VarietyCBA_CaptainWaterTrtRainFed</v>
      </c>
      <c r="B1165">
        <v>2024037</v>
      </c>
      <c r="C1165" t="s">
        <v>105</v>
      </c>
      <c r="D1165">
        <v>3</v>
      </c>
      <c r="E1165" t="s">
        <v>31</v>
      </c>
      <c r="F1165" t="s">
        <v>26</v>
      </c>
      <c r="G1165" t="s">
        <v>30</v>
      </c>
      <c r="I1165">
        <v>2</v>
      </c>
      <c r="J1165" t="s">
        <v>107</v>
      </c>
      <c r="K1165" s="1">
        <v>45523</v>
      </c>
      <c r="L1165">
        <v>298.60000000000002</v>
      </c>
      <c r="M1165">
        <v>10</v>
      </c>
    </row>
    <row r="1166" spans="1:13" hidden="1" x14ac:dyDescent="0.25">
      <c r="A1166" t="str">
        <f t="shared" si="18"/>
        <v>2024_Qld_Gatton_Chickpea_DetailedTOSTOS1VarietyDrummondWaterTrtIrrigated</v>
      </c>
      <c r="B1166">
        <v>2024037</v>
      </c>
      <c r="C1166" t="s">
        <v>105</v>
      </c>
      <c r="D1166">
        <v>3</v>
      </c>
      <c r="E1166" t="s">
        <v>31</v>
      </c>
      <c r="F1166" t="s">
        <v>123</v>
      </c>
      <c r="G1166" t="s">
        <v>27</v>
      </c>
      <c r="I1166">
        <v>1</v>
      </c>
      <c r="J1166" t="s">
        <v>106</v>
      </c>
      <c r="K1166" s="1">
        <v>45481</v>
      </c>
      <c r="L1166">
        <v>164.8</v>
      </c>
      <c r="M1166">
        <v>10</v>
      </c>
    </row>
    <row r="1167" spans="1:13" hidden="1" x14ac:dyDescent="0.25">
      <c r="A1167" t="str">
        <f t="shared" si="18"/>
        <v>2024_Qld_Gatton_Chickpea_DetailedTOSTOS2VarietyDrummondWaterTrtIrrigated</v>
      </c>
      <c r="B1167">
        <v>2024037</v>
      </c>
      <c r="C1167" t="s">
        <v>105</v>
      </c>
      <c r="D1167">
        <v>3</v>
      </c>
      <c r="E1167" t="s">
        <v>31</v>
      </c>
      <c r="F1167" t="s">
        <v>123</v>
      </c>
      <c r="G1167" t="s">
        <v>27</v>
      </c>
      <c r="I1167">
        <v>2</v>
      </c>
      <c r="J1167" t="s">
        <v>107</v>
      </c>
      <c r="K1167" s="1">
        <v>45523</v>
      </c>
      <c r="L1167">
        <v>255.9</v>
      </c>
      <c r="M1167">
        <v>10</v>
      </c>
    </row>
    <row r="1168" spans="1:13" hidden="1" x14ac:dyDescent="0.25">
      <c r="A1168" t="str">
        <f t="shared" si="18"/>
        <v>2024_Qld_Gatton_Chickpea_DetailedTOSTOS1VarietyDrummondWaterTrtRainFed</v>
      </c>
      <c r="B1168">
        <v>2024037</v>
      </c>
      <c r="C1168" t="s">
        <v>105</v>
      </c>
      <c r="D1168">
        <v>3</v>
      </c>
      <c r="E1168" t="s">
        <v>31</v>
      </c>
      <c r="F1168" t="s">
        <v>123</v>
      </c>
      <c r="G1168" t="s">
        <v>30</v>
      </c>
      <c r="I1168">
        <v>1</v>
      </c>
      <c r="J1168" t="s">
        <v>106</v>
      </c>
      <c r="K1168" s="1">
        <v>45481</v>
      </c>
      <c r="L1168">
        <v>169</v>
      </c>
      <c r="M1168">
        <v>10</v>
      </c>
    </row>
    <row r="1169" spans="1:13" hidden="1" x14ac:dyDescent="0.25">
      <c r="A1169" t="str">
        <f t="shared" si="18"/>
        <v>2024_Qld_Gatton_Chickpea_DetailedTOSTOS2VarietyDrummondWaterTrtRainFed</v>
      </c>
      <c r="B1169">
        <v>2024037</v>
      </c>
      <c r="C1169" t="s">
        <v>105</v>
      </c>
      <c r="D1169">
        <v>3</v>
      </c>
      <c r="E1169" t="s">
        <v>31</v>
      </c>
      <c r="F1169" t="s">
        <v>123</v>
      </c>
      <c r="G1169" t="s">
        <v>30</v>
      </c>
      <c r="I1169">
        <v>2</v>
      </c>
      <c r="J1169" t="s">
        <v>107</v>
      </c>
      <c r="K1169" s="1">
        <v>45523</v>
      </c>
      <c r="L1169">
        <v>280.89999999999998</v>
      </c>
      <c r="M1169">
        <v>10</v>
      </c>
    </row>
    <row r="1170" spans="1:13" hidden="1" x14ac:dyDescent="0.25">
      <c r="A1170" t="str">
        <f t="shared" si="18"/>
        <v>2024_Qld_Gatton_Chickpea_DetailedTOSTOS1VarietyHatTrickWaterTrtIrrigated</v>
      </c>
      <c r="B1170">
        <v>2024037</v>
      </c>
      <c r="C1170" t="s">
        <v>105</v>
      </c>
      <c r="D1170">
        <v>3</v>
      </c>
      <c r="E1170" t="s">
        <v>31</v>
      </c>
      <c r="F1170" t="s">
        <v>124</v>
      </c>
      <c r="G1170" t="s">
        <v>27</v>
      </c>
      <c r="I1170">
        <v>1</v>
      </c>
      <c r="J1170" t="s">
        <v>106</v>
      </c>
      <c r="K1170" s="1">
        <v>45481</v>
      </c>
      <c r="L1170">
        <v>173.9</v>
      </c>
      <c r="M1170">
        <v>10</v>
      </c>
    </row>
    <row r="1171" spans="1:13" hidden="1" x14ac:dyDescent="0.25">
      <c r="A1171" t="str">
        <f t="shared" si="18"/>
        <v>2024_Qld_Gatton_Chickpea_DetailedTOSTOS2VarietyHatTrickWaterTrtIrrigated</v>
      </c>
      <c r="B1171">
        <v>2024037</v>
      </c>
      <c r="C1171" t="s">
        <v>105</v>
      </c>
      <c r="D1171">
        <v>3</v>
      </c>
      <c r="E1171" t="s">
        <v>31</v>
      </c>
      <c r="F1171" t="s">
        <v>124</v>
      </c>
      <c r="G1171" t="s">
        <v>27</v>
      </c>
      <c r="I1171">
        <v>2</v>
      </c>
      <c r="J1171" t="s">
        <v>107</v>
      </c>
      <c r="K1171" s="1">
        <v>45523</v>
      </c>
      <c r="L1171">
        <v>275.3</v>
      </c>
      <c r="M1171">
        <v>10</v>
      </c>
    </row>
    <row r="1172" spans="1:13" hidden="1" x14ac:dyDescent="0.25">
      <c r="A1172" t="str">
        <f t="shared" si="18"/>
        <v>2024_Qld_Gatton_Chickpea_DetailedTOSTOS1VarietyHatTrickWaterTrtRainFed</v>
      </c>
      <c r="B1172">
        <v>2024037</v>
      </c>
      <c r="C1172" t="s">
        <v>105</v>
      </c>
      <c r="D1172">
        <v>3</v>
      </c>
      <c r="E1172" t="s">
        <v>31</v>
      </c>
      <c r="F1172" t="s">
        <v>124</v>
      </c>
      <c r="G1172" t="s">
        <v>30</v>
      </c>
      <c r="I1172">
        <v>1</v>
      </c>
      <c r="J1172" t="s">
        <v>106</v>
      </c>
      <c r="K1172" s="1">
        <v>45481</v>
      </c>
      <c r="L1172">
        <v>181.1</v>
      </c>
      <c r="M1172">
        <v>10</v>
      </c>
    </row>
    <row r="1173" spans="1:13" hidden="1" x14ac:dyDescent="0.25">
      <c r="A1173" t="str">
        <f t="shared" si="18"/>
        <v>2024_Qld_Gatton_Chickpea_DetailedTOSTOS2VarietyHatTrickWaterTrtRainFed</v>
      </c>
      <c r="B1173">
        <v>2024037</v>
      </c>
      <c r="C1173" t="s">
        <v>105</v>
      </c>
      <c r="D1173">
        <v>3</v>
      </c>
      <c r="E1173" t="s">
        <v>31</v>
      </c>
      <c r="F1173" t="s">
        <v>124</v>
      </c>
      <c r="G1173" t="s">
        <v>30</v>
      </c>
      <c r="I1173">
        <v>2</v>
      </c>
      <c r="J1173" t="s">
        <v>107</v>
      </c>
      <c r="K1173" s="1">
        <v>45523</v>
      </c>
      <c r="L1173">
        <v>275.89999999999998</v>
      </c>
      <c r="M1173">
        <v>10</v>
      </c>
    </row>
    <row r="1174" spans="1:13" hidden="1" x14ac:dyDescent="0.25">
      <c r="A1174" t="str">
        <f t="shared" si="18"/>
        <v>2024_Qld_Gatton_Chickpea_DetailedTOSTOS1VarietyStrikerWaterTrtIrrigated</v>
      </c>
      <c r="B1174">
        <v>2024037</v>
      </c>
      <c r="C1174" t="s">
        <v>105</v>
      </c>
      <c r="D1174">
        <v>3</v>
      </c>
      <c r="E1174" t="s">
        <v>31</v>
      </c>
      <c r="F1174" t="s">
        <v>125</v>
      </c>
      <c r="G1174" t="s">
        <v>27</v>
      </c>
      <c r="I1174">
        <v>1</v>
      </c>
      <c r="J1174" t="s">
        <v>106</v>
      </c>
      <c r="K1174" s="1">
        <v>45481</v>
      </c>
      <c r="L1174">
        <v>187.4</v>
      </c>
      <c r="M1174">
        <v>10</v>
      </c>
    </row>
    <row r="1175" spans="1:13" hidden="1" x14ac:dyDescent="0.25">
      <c r="A1175" t="str">
        <f t="shared" si="18"/>
        <v>2024_Qld_Gatton_Chickpea_DetailedTOSTOS2VarietyStrikerWaterTrtIrrigated</v>
      </c>
      <c r="B1175">
        <v>2024037</v>
      </c>
      <c r="C1175" t="s">
        <v>105</v>
      </c>
      <c r="D1175">
        <v>3</v>
      </c>
      <c r="E1175" t="s">
        <v>31</v>
      </c>
      <c r="F1175" t="s">
        <v>125</v>
      </c>
      <c r="G1175" t="s">
        <v>27</v>
      </c>
      <c r="I1175">
        <v>2</v>
      </c>
      <c r="J1175" t="s">
        <v>107</v>
      </c>
      <c r="K1175" s="1">
        <v>45523</v>
      </c>
      <c r="L1175">
        <v>303.60000000000002</v>
      </c>
      <c r="M1175">
        <v>10</v>
      </c>
    </row>
    <row r="1176" spans="1:13" hidden="1" x14ac:dyDescent="0.25">
      <c r="A1176" t="str">
        <f t="shared" si="18"/>
        <v>2024_Qld_Gatton_Chickpea_DetailedTOSTOS1VarietyStrikerWaterTrtRainFed</v>
      </c>
      <c r="B1176">
        <v>2024037</v>
      </c>
      <c r="C1176" t="s">
        <v>105</v>
      </c>
      <c r="D1176">
        <v>3</v>
      </c>
      <c r="E1176" t="s">
        <v>31</v>
      </c>
      <c r="F1176" t="s">
        <v>125</v>
      </c>
      <c r="G1176" t="s">
        <v>30</v>
      </c>
      <c r="I1176">
        <v>1</v>
      </c>
      <c r="J1176" t="s">
        <v>106</v>
      </c>
      <c r="K1176" s="1">
        <v>45481</v>
      </c>
      <c r="L1176">
        <v>196.2</v>
      </c>
      <c r="M1176">
        <v>10</v>
      </c>
    </row>
    <row r="1177" spans="1:13" hidden="1" x14ac:dyDescent="0.25">
      <c r="A1177" t="str">
        <f t="shared" si="18"/>
        <v>2024_Qld_Gatton_Chickpea_DetailedTOSTOS2VarietyStrikerWaterTrtRainFed</v>
      </c>
      <c r="B1177">
        <v>2024037</v>
      </c>
      <c r="C1177" t="s">
        <v>105</v>
      </c>
      <c r="D1177">
        <v>3</v>
      </c>
      <c r="E1177" t="s">
        <v>31</v>
      </c>
      <c r="F1177" t="s">
        <v>125</v>
      </c>
      <c r="G1177" t="s">
        <v>30</v>
      </c>
      <c r="I1177">
        <v>2</v>
      </c>
      <c r="J1177" t="s">
        <v>107</v>
      </c>
      <c r="K1177" s="1">
        <v>45523</v>
      </c>
      <c r="L1177">
        <v>306.39999999999998</v>
      </c>
      <c r="M1177">
        <v>10</v>
      </c>
    </row>
    <row r="1178" spans="1:13" hidden="1" x14ac:dyDescent="0.25">
      <c r="A1178" t="str">
        <f t="shared" si="18"/>
        <v>2024_Qld_Gatton_Chickpea_DetailedTOSTOS1VarietyCBA_CaptainWaterTrtIrrigated</v>
      </c>
      <c r="B1178">
        <v>2024037</v>
      </c>
      <c r="C1178" t="s">
        <v>105</v>
      </c>
      <c r="D1178">
        <v>4</v>
      </c>
      <c r="E1178" t="s">
        <v>32</v>
      </c>
      <c r="F1178" t="s">
        <v>26</v>
      </c>
      <c r="G1178" t="s">
        <v>27</v>
      </c>
      <c r="I1178">
        <v>1</v>
      </c>
      <c r="J1178" t="s">
        <v>106</v>
      </c>
      <c r="K1178" s="1">
        <v>45503</v>
      </c>
      <c r="L1178">
        <v>499.5</v>
      </c>
      <c r="M1178">
        <v>22</v>
      </c>
    </row>
    <row r="1179" spans="1:13" hidden="1" x14ac:dyDescent="0.25">
      <c r="A1179" t="str">
        <f t="shared" si="18"/>
        <v>2024_Qld_Gatton_Chickpea_DetailedTOSTOS2VarietyCBA_CaptainWaterTrtIrrigated</v>
      </c>
      <c r="B1179">
        <v>2024037</v>
      </c>
      <c r="C1179" t="s">
        <v>105</v>
      </c>
      <c r="D1179">
        <v>4</v>
      </c>
      <c r="E1179" t="s">
        <v>32</v>
      </c>
      <c r="F1179" t="s">
        <v>26</v>
      </c>
      <c r="G1179" t="s">
        <v>27</v>
      </c>
      <c r="I1179">
        <v>2</v>
      </c>
      <c r="J1179" t="s">
        <v>107</v>
      </c>
      <c r="K1179" s="1">
        <v>45534</v>
      </c>
      <c r="L1179">
        <v>535.9</v>
      </c>
      <c r="M1179">
        <v>22</v>
      </c>
    </row>
    <row r="1180" spans="1:13" hidden="1" x14ac:dyDescent="0.25">
      <c r="A1180" t="str">
        <f t="shared" si="18"/>
        <v>2024_Qld_Gatton_Chickpea_DetailedTOSTOS1VarietyCBA_CaptainWaterTrtRainFed</v>
      </c>
      <c r="B1180">
        <v>2024037</v>
      </c>
      <c r="C1180" t="s">
        <v>105</v>
      </c>
      <c r="D1180">
        <v>4</v>
      </c>
      <c r="E1180" t="s">
        <v>32</v>
      </c>
      <c r="F1180" t="s">
        <v>26</v>
      </c>
      <c r="G1180" t="s">
        <v>30</v>
      </c>
      <c r="I1180">
        <v>1</v>
      </c>
      <c r="J1180" t="s">
        <v>106</v>
      </c>
      <c r="K1180" s="1">
        <v>45503</v>
      </c>
      <c r="L1180">
        <v>502.5</v>
      </c>
      <c r="M1180">
        <v>22</v>
      </c>
    </row>
    <row r="1181" spans="1:13" hidden="1" x14ac:dyDescent="0.25">
      <c r="A1181" t="str">
        <f t="shared" si="18"/>
        <v>2024_Qld_Gatton_Chickpea_DetailedTOSTOS2VarietyCBA_CaptainWaterTrtRainFed</v>
      </c>
      <c r="B1181">
        <v>2024037</v>
      </c>
      <c r="C1181" t="s">
        <v>105</v>
      </c>
      <c r="D1181">
        <v>4</v>
      </c>
      <c r="E1181" t="s">
        <v>32</v>
      </c>
      <c r="F1181" t="s">
        <v>26</v>
      </c>
      <c r="G1181" t="s">
        <v>30</v>
      </c>
      <c r="I1181">
        <v>2</v>
      </c>
      <c r="J1181" t="s">
        <v>107</v>
      </c>
      <c r="K1181" s="1">
        <v>45534</v>
      </c>
      <c r="L1181">
        <v>490.2</v>
      </c>
      <c r="M1181">
        <v>24</v>
      </c>
    </row>
    <row r="1182" spans="1:13" hidden="1" x14ac:dyDescent="0.25">
      <c r="A1182" t="str">
        <f t="shared" si="18"/>
        <v>2024_Qld_Gatton_Chickpea_DetailedTOSTOS1VarietyDrummondWaterTrtIrrigated</v>
      </c>
      <c r="B1182">
        <v>2024037</v>
      </c>
      <c r="C1182" t="s">
        <v>105</v>
      </c>
      <c r="D1182">
        <v>4</v>
      </c>
      <c r="E1182" t="s">
        <v>32</v>
      </c>
      <c r="F1182" t="s">
        <v>123</v>
      </c>
      <c r="G1182" t="s">
        <v>27</v>
      </c>
      <c r="I1182">
        <v>1</v>
      </c>
      <c r="J1182" t="s">
        <v>106</v>
      </c>
      <c r="K1182" s="1">
        <v>45506</v>
      </c>
      <c r="L1182">
        <v>514.20000000000005</v>
      </c>
      <c r="M1182">
        <v>22</v>
      </c>
    </row>
    <row r="1183" spans="1:13" hidden="1" x14ac:dyDescent="0.25">
      <c r="A1183" t="str">
        <f t="shared" si="18"/>
        <v>2024_Qld_Gatton_Chickpea_DetailedTOSTOS2VarietyDrummondWaterTrtIrrigated</v>
      </c>
      <c r="B1183">
        <v>2024037</v>
      </c>
      <c r="C1183" t="s">
        <v>105</v>
      </c>
      <c r="D1183">
        <v>4</v>
      </c>
      <c r="E1183" t="s">
        <v>32</v>
      </c>
      <c r="F1183" t="s">
        <v>123</v>
      </c>
      <c r="G1183" t="s">
        <v>27</v>
      </c>
      <c r="I1183">
        <v>2</v>
      </c>
      <c r="J1183" t="s">
        <v>107</v>
      </c>
      <c r="K1183" s="1">
        <v>45538</v>
      </c>
      <c r="L1183">
        <v>549.79999999999995</v>
      </c>
      <c r="M1183">
        <v>22</v>
      </c>
    </row>
    <row r="1184" spans="1:13" hidden="1" x14ac:dyDescent="0.25">
      <c r="A1184" t="str">
        <f t="shared" si="18"/>
        <v>2024_Qld_Gatton_Chickpea_DetailedTOSTOS1VarietyDrummondWaterTrtRainFed</v>
      </c>
      <c r="B1184">
        <v>2024037</v>
      </c>
      <c r="C1184" t="s">
        <v>105</v>
      </c>
      <c r="D1184">
        <v>4</v>
      </c>
      <c r="E1184" t="s">
        <v>32</v>
      </c>
      <c r="F1184" t="s">
        <v>123</v>
      </c>
      <c r="G1184" t="s">
        <v>30</v>
      </c>
      <c r="I1184">
        <v>1</v>
      </c>
      <c r="J1184" t="s">
        <v>106</v>
      </c>
      <c r="K1184" s="1">
        <v>45506</v>
      </c>
      <c r="L1184">
        <v>518.79999999999995</v>
      </c>
      <c r="M1184">
        <v>22</v>
      </c>
    </row>
    <row r="1185" spans="1:13" hidden="1" x14ac:dyDescent="0.25">
      <c r="A1185" t="str">
        <f t="shared" si="18"/>
        <v>2024_Qld_Gatton_Chickpea_DetailedTOSTOS2VarietyDrummondWaterTrtRainFed</v>
      </c>
      <c r="B1185">
        <v>2024037</v>
      </c>
      <c r="C1185" t="s">
        <v>105</v>
      </c>
      <c r="D1185">
        <v>4</v>
      </c>
      <c r="E1185" t="s">
        <v>32</v>
      </c>
      <c r="F1185" t="s">
        <v>123</v>
      </c>
      <c r="G1185" t="s">
        <v>30</v>
      </c>
      <c r="I1185">
        <v>2</v>
      </c>
      <c r="J1185" t="s">
        <v>107</v>
      </c>
      <c r="K1185" s="1">
        <v>45534</v>
      </c>
      <c r="L1185">
        <v>504</v>
      </c>
      <c r="M1185">
        <v>22</v>
      </c>
    </row>
    <row r="1186" spans="1:13" hidden="1" x14ac:dyDescent="0.25">
      <c r="A1186" t="str">
        <f t="shared" si="18"/>
        <v>2024_Qld_Gatton_Chickpea_DetailedTOSTOS1VarietyHatTrickWaterTrtIrrigated</v>
      </c>
      <c r="B1186">
        <v>2024037</v>
      </c>
      <c r="C1186" t="s">
        <v>105</v>
      </c>
      <c r="D1186">
        <v>4</v>
      </c>
      <c r="E1186" t="s">
        <v>32</v>
      </c>
      <c r="F1186" t="s">
        <v>124</v>
      </c>
      <c r="G1186" t="s">
        <v>27</v>
      </c>
      <c r="I1186">
        <v>1</v>
      </c>
      <c r="J1186" t="s">
        <v>106</v>
      </c>
      <c r="K1186" s="1">
        <v>45506</v>
      </c>
      <c r="L1186">
        <v>512.70000000000005</v>
      </c>
      <c r="M1186">
        <v>22</v>
      </c>
    </row>
    <row r="1187" spans="1:13" hidden="1" x14ac:dyDescent="0.25">
      <c r="A1187" t="str">
        <f t="shared" si="18"/>
        <v>2024_Qld_Gatton_Chickpea_DetailedTOSTOS2VarietyHatTrickWaterTrtIrrigated</v>
      </c>
      <c r="B1187">
        <v>2024037</v>
      </c>
      <c r="C1187" t="s">
        <v>105</v>
      </c>
      <c r="D1187">
        <v>4</v>
      </c>
      <c r="E1187" t="s">
        <v>32</v>
      </c>
      <c r="F1187" t="s">
        <v>124</v>
      </c>
      <c r="G1187" t="s">
        <v>27</v>
      </c>
      <c r="I1187">
        <v>2</v>
      </c>
      <c r="J1187" t="s">
        <v>107</v>
      </c>
      <c r="K1187" s="1">
        <v>45538</v>
      </c>
      <c r="L1187">
        <v>549.9</v>
      </c>
      <c r="M1187">
        <v>22</v>
      </c>
    </row>
    <row r="1188" spans="1:13" hidden="1" x14ac:dyDescent="0.25">
      <c r="A1188" t="str">
        <f t="shared" si="18"/>
        <v>2024_Qld_Gatton_Chickpea_DetailedTOSTOS1VarietyHatTrickWaterTrtRainFed</v>
      </c>
      <c r="B1188">
        <v>2024037</v>
      </c>
      <c r="C1188" t="s">
        <v>105</v>
      </c>
      <c r="D1188">
        <v>4</v>
      </c>
      <c r="E1188" t="s">
        <v>32</v>
      </c>
      <c r="F1188" t="s">
        <v>124</v>
      </c>
      <c r="G1188" t="s">
        <v>30</v>
      </c>
      <c r="I1188">
        <v>1</v>
      </c>
      <c r="J1188" t="s">
        <v>106</v>
      </c>
      <c r="K1188" s="1">
        <v>45506</v>
      </c>
      <c r="L1188">
        <v>535.70000000000005</v>
      </c>
      <c r="M1188">
        <v>22</v>
      </c>
    </row>
    <row r="1189" spans="1:13" hidden="1" x14ac:dyDescent="0.25">
      <c r="A1189" t="str">
        <f t="shared" si="18"/>
        <v>2024_Qld_Gatton_Chickpea_DetailedTOSTOS2VarietyHatTrickWaterTrtRainFed</v>
      </c>
      <c r="B1189">
        <v>2024037</v>
      </c>
      <c r="C1189" t="s">
        <v>105</v>
      </c>
      <c r="D1189">
        <v>4</v>
      </c>
      <c r="E1189" t="s">
        <v>32</v>
      </c>
      <c r="F1189" t="s">
        <v>124</v>
      </c>
      <c r="G1189" t="s">
        <v>30</v>
      </c>
      <c r="I1189">
        <v>2</v>
      </c>
      <c r="J1189" t="s">
        <v>107</v>
      </c>
      <c r="K1189" s="1">
        <v>45534</v>
      </c>
      <c r="L1189">
        <v>466.3</v>
      </c>
      <c r="M1189">
        <v>22</v>
      </c>
    </row>
    <row r="1190" spans="1:13" hidden="1" x14ac:dyDescent="0.25">
      <c r="A1190" t="str">
        <f t="shared" si="18"/>
        <v>2024_Qld_Gatton_Chickpea_DetailedTOSTOS1VarietyStrikerWaterTrtIrrigated</v>
      </c>
      <c r="B1190">
        <v>2024037</v>
      </c>
      <c r="C1190" t="s">
        <v>105</v>
      </c>
      <c r="D1190">
        <v>4</v>
      </c>
      <c r="E1190" t="s">
        <v>32</v>
      </c>
      <c r="F1190" t="s">
        <v>125</v>
      </c>
      <c r="G1190" t="s">
        <v>27</v>
      </c>
      <c r="I1190">
        <v>1</v>
      </c>
      <c r="J1190" t="s">
        <v>106</v>
      </c>
      <c r="K1190" s="1">
        <v>45503</v>
      </c>
      <c r="L1190">
        <v>429.9</v>
      </c>
      <c r="M1190">
        <v>22</v>
      </c>
    </row>
    <row r="1191" spans="1:13" hidden="1" x14ac:dyDescent="0.25">
      <c r="A1191" t="str">
        <f t="shared" si="18"/>
        <v>2024_Qld_Gatton_Chickpea_DetailedTOSTOS2VarietyStrikerWaterTrtIrrigated</v>
      </c>
      <c r="B1191">
        <v>2024037</v>
      </c>
      <c r="C1191" t="s">
        <v>105</v>
      </c>
      <c r="D1191">
        <v>4</v>
      </c>
      <c r="E1191" t="s">
        <v>32</v>
      </c>
      <c r="F1191" t="s">
        <v>125</v>
      </c>
      <c r="G1191" t="s">
        <v>27</v>
      </c>
      <c r="I1191">
        <v>2</v>
      </c>
      <c r="J1191" t="s">
        <v>107</v>
      </c>
      <c r="K1191" s="1">
        <v>45534</v>
      </c>
      <c r="L1191">
        <v>514.4</v>
      </c>
      <c r="M1191">
        <v>22</v>
      </c>
    </row>
    <row r="1192" spans="1:13" hidden="1" x14ac:dyDescent="0.25">
      <c r="A1192" t="str">
        <f t="shared" si="18"/>
        <v>2024_Qld_Gatton_Chickpea_DetailedTOSTOS1VarietyStrikerWaterTrtRainFed</v>
      </c>
      <c r="B1192">
        <v>2024037</v>
      </c>
      <c r="C1192" t="s">
        <v>105</v>
      </c>
      <c r="D1192">
        <v>4</v>
      </c>
      <c r="E1192" t="s">
        <v>32</v>
      </c>
      <c r="F1192" t="s">
        <v>125</v>
      </c>
      <c r="G1192" t="s">
        <v>30</v>
      </c>
      <c r="I1192">
        <v>1</v>
      </c>
      <c r="J1192" t="s">
        <v>106</v>
      </c>
      <c r="K1192" s="1">
        <v>45503</v>
      </c>
      <c r="L1192">
        <v>480.4</v>
      </c>
      <c r="M1192">
        <v>22</v>
      </c>
    </row>
    <row r="1193" spans="1:13" hidden="1" x14ac:dyDescent="0.25">
      <c r="A1193" t="str">
        <f t="shared" si="18"/>
        <v>2024_Qld_Gatton_Chickpea_DetailedTOSTOS2VarietyStrikerWaterTrtRainFed</v>
      </c>
      <c r="B1193">
        <v>2024037</v>
      </c>
      <c r="C1193" t="s">
        <v>105</v>
      </c>
      <c r="D1193">
        <v>4</v>
      </c>
      <c r="E1193" t="s">
        <v>32</v>
      </c>
      <c r="F1193" t="s">
        <v>125</v>
      </c>
      <c r="G1193" t="s">
        <v>30</v>
      </c>
      <c r="I1193">
        <v>2</v>
      </c>
      <c r="J1193" t="s">
        <v>107</v>
      </c>
      <c r="K1193" s="1">
        <v>45534</v>
      </c>
      <c r="L1193">
        <v>480.9</v>
      </c>
      <c r="M1193">
        <v>22</v>
      </c>
    </row>
    <row r="1194" spans="1:13" hidden="1" x14ac:dyDescent="0.25">
      <c r="A1194" t="str">
        <f t="shared" si="18"/>
        <v>2024_Qld_Gatton_Chickpea_DetailedTOSTOS1VarietyCBA_CaptainWaterTrtIrrigated</v>
      </c>
      <c r="B1194">
        <v>2024037</v>
      </c>
      <c r="C1194" t="s">
        <v>105</v>
      </c>
      <c r="D1194">
        <v>5</v>
      </c>
      <c r="E1194" t="s">
        <v>33</v>
      </c>
      <c r="F1194" t="s">
        <v>26</v>
      </c>
      <c r="G1194" t="s">
        <v>27</v>
      </c>
      <c r="I1194">
        <v>1</v>
      </c>
      <c r="J1194" t="s">
        <v>106</v>
      </c>
      <c r="K1194" s="1">
        <v>45538</v>
      </c>
      <c r="L1194">
        <v>1034.7</v>
      </c>
      <c r="M1194">
        <v>39</v>
      </c>
    </row>
    <row r="1195" spans="1:13" hidden="1" x14ac:dyDescent="0.25">
      <c r="A1195" t="str">
        <f t="shared" si="18"/>
        <v>2024_Qld_Gatton_Chickpea_DetailedTOSTOS2VarietyCBA_CaptainWaterTrtIrrigated</v>
      </c>
      <c r="B1195">
        <v>2024037</v>
      </c>
      <c r="C1195" t="s">
        <v>105</v>
      </c>
      <c r="D1195">
        <v>5</v>
      </c>
      <c r="E1195" t="s">
        <v>33</v>
      </c>
      <c r="F1195" t="s">
        <v>26</v>
      </c>
      <c r="G1195" t="s">
        <v>27</v>
      </c>
      <c r="I1195">
        <v>2</v>
      </c>
      <c r="J1195" t="s">
        <v>107</v>
      </c>
      <c r="K1195" s="1">
        <v>45555</v>
      </c>
      <c r="L1195">
        <v>973.1</v>
      </c>
      <c r="M1195">
        <v>39</v>
      </c>
    </row>
    <row r="1196" spans="1:13" hidden="1" x14ac:dyDescent="0.25">
      <c r="A1196" t="str">
        <f t="shared" si="18"/>
        <v>2024_Qld_Gatton_Chickpea_DetailedTOSTOS1VarietyCBA_CaptainWaterTrtRainFed</v>
      </c>
      <c r="B1196">
        <v>2024037</v>
      </c>
      <c r="C1196" t="s">
        <v>105</v>
      </c>
      <c r="D1196">
        <v>5</v>
      </c>
      <c r="E1196" t="s">
        <v>33</v>
      </c>
      <c r="F1196" t="s">
        <v>26</v>
      </c>
      <c r="G1196" t="s">
        <v>30</v>
      </c>
      <c r="I1196">
        <v>1</v>
      </c>
      <c r="J1196" t="s">
        <v>106</v>
      </c>
      <c r="K1196" s="1">
        <v>45530</v>
      </c>
      <c r="L1196">
        <v>937.1</v>
      </c>
      <c r="M1196">
        <v>39</v>
      </c>
    </row>
    <row r="1197" spans="1:13" hidden="1" x14ac:dyDescent="0.25">
      <c r="A1197" t="str">
        <f t="shared" si="18"/>
        <v>2024_Qld_Gatton_Chickpea_DetailedTOSTOS2VarietyCBA_CaptainWaterTrtRainFed</v>
      </c>
      <c r="B1197">
        <v>2024037</v>
      </c>
      <c r="C1197" t="s">
        <v>105</v>
      </c>
      <c r="D1197">
        <v>5</v>
      </c>
      <c r="E1197" t="s">
        <v>33</v>
      </c>
      <c r="F1197" t="s">
        <v>26</v>
      </c>
      <c r="G1197" t="s">
        <v>30</v>
      </c>
      <c r="I1197">
        <v>2</v>
      </c>
      <c r="J1197" t="s">
        <v>107</v>
      </c>
      <c r="K1197" s="1">
        <v>45545</v>
      </c>
      <c r="L1197">
        <v>652.4</v>
      </c>
      <c r="M1197">
        <v>39</v>
      </c>
    </row>
    <row r="1198" spans="1:13" hidden="1" x14ac:dyDescent="0.25">
      <c r="A1198" t="str">
        <f t="shared" si="18"/>
        <v>2024_Qld_Gatton_Chickpea_DetailedTOSTOS1VarietyDrummondWaterTrtIrrigated</v>
      </c>
      <c r="B1198">
        <v>2024037</v>
      </c>
      <c r="C1198" t="s">
        <v>105</v>
      </c>
      <c r="D1198">
        <v>5</v>
      </c>
      <c r="E1198" t="s">
        <v>33</v>
      </c>
      <c r="F1198" t="s">
        <v>123</v>
      </c>
      <c r="G1198" t="s">
        <v>27</v>
      </c>
      <c r="I1198">
        <v>1</v>
      </c>
      <c r="J1198" t="s">
        <v>106</v>
      </c>
      <c r="K1198" s="1">
        <v>45538</v>
      </c>
      <c r="L1198">
        <v>1093</v>
      </c>
      <c r="M1198">
        <v>39</v>
      </c>
    </row>
    <row r="1199" spans="1:13" hidden="1" x14ac:dyDescent="0.25">
      <c r="A1199" t="str">
        <f t="shared" si="18"/>
        <v>2024_Qld_Gatton_Chickpea_DetailedTOSTOS2VarietyDrummondWaterTrtIrrigated</v>
      </c>
      <c r="B1199">
        <v>2024037</v>
      </c>
      <c r="C1199" t="s">
        <v>105</v>
      </c>
      <c r="D1199">
        <v>5</v>
      </c>
      <c r="E1199" t="s">
        <v>33</v>
      </c>
      <c r="F1199" t="s">
        <v>123</v>
      </c>
      <c r="G1199" t="s">
        <v>27</v>
      </c>
      <c r="I1199">
        <v>2</v>
      </c>
      <c r="J1199" t="s">
        <v>107</v>
      </c>
      <c r="K1199" s="1">
        <v>45559</v>
      </c>
      <c r="L1199">
        <v>1047.9000000000001</v>
      </c>
      <c r="M1199">
        <v>39</v>
      </c>
    </row>
    <row r="1200" spans="1:13" hidden="1" x14ac:dyDescent="0.25">
      <c r="A1200" t="str">
        <f t="shared" si="18"/>
        <v>2024_Qld_Gatton_Chickpea_DetailedTOSTOS1VarietyDrummondWaterTrtRainFed</v>
      </c>
      <c r="B1200">
        <v>2024037</v>
      </c>
      <c r="C1200" t="s">
        <v>105</v>
      </c>
      <c r="D1200">
        <v>5</v>
      </c>
      <c r="E1200" t="s">
        <v>33</v>
      </c>
      <c r="F1200" t="s">
        <v>123</v>
      </c>
      <c r="G1200" t="s">
        <v>30</v>
      </c>
      <c r="I1200">
        <v>1</v>
      </c>
      <c r="J1200" t="s">
        <v>106</v>
      </c>
      <c r="K1200" s="1">
        <v>45530</v>
      </c>
      <c r="L1200">
        <v>914.1</v>
      </c>
      <c r="M1200">
        <v>43</v>
      </c>
    </row>
    <row r="1201" spans="1:25" hidden="1" x14ac:dyDescent="0.25">
      <c r="A1201" t="str">
        <f t="shared" si="18"/>
        <v>2024_Qld_Gatton_Chickpea_DetailedTOSTOS2VarietyDrummondWaterTrtRainFed</v>
      </c>
      <c r="B1201">
        <v>2024037</v>
      </c>
      <c r="C1201" t="s">
        <v>105</v>
      </c>
      <c r="D1201">
        <v>5</v>
      </c>
      <c r="E1201" t="s">
        <v>33</v>
      </c>
      <c r="F1201" t="s">
        <v>123</v>
      </c>
      <c r="G1201" t="s">
        <v>30</v>
      </c>
      <c r="I1201">
        <v>2</v>
      </c>
      <c r="J1201" t="s">
        <v>107</v>
      </c>
      <c r="K1201" s="1">
        <v>45545</v>
      </c>
      <c r="L1201">
        <v>627</v>
      </c>
      <c r="M1201">
        <v>39</v>
      </c>
    </row>
    <row r="1202" spans="1:25" hidden="1" x14ac:dyDescent="0.25">
      <c r="A1202" t="str">
        <f t="shared" si="18"/>
        <v>2024_Qld_Gatton_Chickpea_DetailedTOSTOS1VarietyHatTrickWaterTrtIrrigated</v>
      </c>
      <c r="B1202">
        <v>2024037</v>
      </c>
      <c r="C1202" t="s">
        <v>105</v>
      </c>
      <c r="D1202">
        <v>5</v>
      </c>
      <c r="E1202" t="s">
        <v>33</v>
      </c>
      <c r="F1202" t="s">
        <v>124</v>
      </c>
      <c r="G1202" t="s">
        <v>27</v>
      </c>
      <c r="I1202">
        <v>1</v>
      </c>
      <c r="J1202" t="s">
        <v>106</v>
      </c>
      <c r="K1202" s="1">
        <v>45538</v>
      </c>
      <c r="L1202">
        <v>1128.9000000000001</v>
      </c>
      <c r="M1202">
        <v>39</v>
      </c>
    </row>
    <row r="1203" spans="1:25" hidden="1" x14ac:dyDescent="0.25">
      <c r="A1203" t="str">
        <f t="shared" si="18"/>
        <v>2024_Qld_Gatton_Chickpea_DetailedTOSTOS2VarietyHatTrickWaterTrtIrrigated</v>
      </c>
      <c r="B1203">
        <v>2024037</v>
      </c>
      <c r="C1203" t="s">
        <v>105</v>
      </c>
      <c r="D1203">
        <v>5</v>
      </c>
      <c r="E1203" t="s">
        <v>33</v>
      </c>
      <c r="F1203" t="s">
        <v>124</v>
      </c>
      <c r="G1203" t="s">
        <v>27</v>
      </c>
      <c r="I1203">
        <v>2</v>
      </c>
      <c r="J1203" t="s">
        <v>107</v>
      </c>
      <c r="K1203" s="1">
        <v>45559</v>
      </c>
      <c r="L1203">
        <v>1056.2</v>
      </c>
      <c r="M1203">
        <v>39</v>
      </c>
    </row>
    <row r="1204" spans="1:25" hidden="1" x14ac:dyDescent="0.25">
      <c r="A1204" t="str">
        <f t="shared" si="18"/>
        <v>2024_Qld_Gatton_Chickpea_DetailedTOSTOS1VarietyHatTrickWaterTrtRainFed</v>
      </c>
      <c r="B1204">
        <v>2024037</v>
      </c>
      <c r="C1204" t="s">
        <v>105</v>
      </c>
      <c r="D1204">
        <v>5</v>
      </c>
      <c r="E1204" t="s">
        <v>33</v>
      </c>
      <c r="F1204" t="s">
        <v>124</v>
      </c>
      <c r="G1204" t="s">
        <v>30</v>
      </c>
      <c r="I1204">
        <v>1</v>
      </c>
      <c r="J1204" t="s">
        <v>106</v>
      </c>
      <c r="K1204" s="1">
        <v>45530</v>
      </c>
      <c r="L1204">
        <v>1010.8</v>
      </c>
      <c r="M1204">
        <v>39</v>
      </c>
    </row>
    <row r="1205" spans="1:25" hidden="1" x14ac:dyDescent="0.25">
      <c r="A1205" t="str">
        <f t="shared" si="18"/>
        <v>2024_Qld_Gatton_Chickpea_DetailedTOSTOS2VarietyHatTrickWaterTrtRainFed</v>
      </c>
      <c r="B1205">
        <v>2024037</v>
      </c>
      <c r="C1205" t="s">
        <v>105</v>
      </c>
      <c r="D1205">
        <v>5</v>
      </c>
      <c r="E1205" t="s">
        <v>33</v>
      </c>
      <c r="F1205" t="s">
        <v>124</v>
      </c>
      <c r="G1205" t="s">
        <v>30</v>
      </c>
      <c r="I1205">
        <v>2</v>
      </c>
      <c r="J1205" t="s">
        <v>107</v>
      </c>
      <c r="K1205" s="1">
        <v>45545</v>
      </c>
      <c r="L1205">
        <v>606.5</v>
      </c>
      <c r="M1205">
        <v>39</v>
      </c>
    </row>
    <row r="1206" spans="1:25" hidden="1" x14ac:dyDescent="0.25">
      <c r="A1206" t="str">
        <f t="shared" si="18"/>
        <v>2024_Qld_Gatton_Chickpea_DetailedTOSTOS1VarietyStrikerWaterTrtIrrigated</v>
      </c>
      <c r="B1206">
        <v>2024037</v>
      </c>
      <c r="C1206" t="s">
        <v>105</v>
      </c>
      <c r="D1206">
        <v>5</v>
      </c>
      <c r="E1206" t="s">
        <v>33</v>
      </c>
      <c r="F1206" t="s">
        <v>125</v>
      </c>
      <c r="G1206" t="s">
        <v>27</v>
      </c>
      <c r="I1206">
        <v>1</v>
      </c>
      <c r="J1206" t="s">
        <v>106</v>
      </c>
      <c r="K1206" s="1">
        <v>45538</v>
      </c>
      <c r="L1206">
        <v>1073.9000000000001</v>
      </c>
      <c r="M1206">
        <v>39</v>
      </c>
    </row>
    <row r="1207" spans="1:25" hidden="1" x14ac:dyDescent="0.25">
      <c r="A1207" t="str">
        <f t="shared" si="18"/>
        <v>2024_Qld_Gatton_Chickpea_DetailedTOSTOS2VarietyStrikerWaterTrtIrrigated</v>
      </c>
      <c r="B1207">
        <v>2024037</v>
      </c>
      <c r="C1207" t="s">
        <v>105</v>
      </c>
      <c r="D1207">
        <v>5</v>
      </c>
      <c r="E1207" t="s">
        <v>33</v>
      </c>
      <c r="F1207" t="s">
        <v>125</v>
      </c>
      <c r="G1207" t="s">
        <v>27</v>
      </c>
      <c r="I1207">
        <v>2</v>
      </c>
      <c r="J1207" t="s">
        <v>107</v>
      </c>
      <c r="K1207" s="1">
        <v>45559</v>
      </c>
      <c r="L1207">
        <v>1067.7</v>
      </c>
      <c r="M1207">
        <v>39</v>
      </c>
    </row>
    <row r="1208" spans="1:25" hidden="1" x14ac:dyDescent="0.25">
      <c r="A1208" t="str">
        <f t="shared" si="18"/>
        <v>2024_Qld_Gatton_Chickpea_DetailedTOSTOS1VarietyStrikerWaterTrtRainFed</v>
      </c>
      <c r="B1208">
        <v>2024037</v>
      </c>
      <c r="C1208" t="s">
        <v>105</v>
      </c>
      <c r="D1208">
        <v>5</v>
      </c>
      <c r="E1208" t="s">
        <v>33</v>
      </c>
      <c r="F1208" t="s">
        <v>125</v>
      </c>
      <c r="G1208" t="s">
        <v>30</v>
      </c>
      <c r="I1208">
        <v>1</v>
      </c>
      <c r="J1208" t="s">
        <v>106</v>
      </c>
      <c r="K1208" s="1">
        <v>45530</v>
      </c>
      <c r="L1208">
        <v>933.6</v>
      </c>
      <c r="M1208">
        <v>39</v>
      </c>
    </row>
    <row r="1209" spans="1:25" hidden="1" x14ac:dyDescent="0.25">
      <c r="A1209" t="str">
        <f t="shared" si="18"/>
        <v>2024_Qld_Gatton_Chickpea_DetailedTOSTOS2VarietyStrikerWaterTrtRainFed</v>
      </c>
      <c r="B1209">
        <v>2024037</v>
      </c>
      <c r="C1209" t="s">
        <v>105</v>
      </c>
      <c r="D1209">
        <v>5</v>
      </c>
      <c r="E1209" t="s">
        <v>33</v>
      </c>
      <c r="F1209" t="s">
        <v>125</v>
      </c>
      <c r="G1209" t="s">
        <v>30</v>
      </c>
      <c r="I1209">
        <v>2</v>
      </c>
      <c r="J1209" t="s">
        <v>107</v>
      </c>
      <c r="K1209" s="1">
        <v>45545</v>
      </c>
      <c r="L1209">
        <v>667</v>
      </c>
      <c r="M1209">
        <v>39</v>
      </c>
    </row>
    <row r="1210" spans="1:25" hidden="1" x14ac:dyDescent="0.25">
      <c r="A1210" t="str">
        <f t="shared" si="18"/>
        <v>2024_Qld_Gatton_Chickpea_DetailedTOSTOS1VarietyCBA_CaptainWaterTrtIrrigated</v>
      </c>
      <c r="B1210">
        <v>2024037</v>
      </c>
      <c r="C1210" t="s">
        <v>105</v>
      </c>
      <c r="D1210">
        <v>6</v>
      </c>
      <c r="E1210" t="s">
        <v>34</v>
      </c>
      <c r="F1210" t="s">
        <v>26</v>
      </c>
      <c r="G1210" t="s">
        <v>27</v>
      </c>
      <c r="I1210">
        <v>1</v>
      </c>
      <c r="J1210" t="s">
        <v>106</v>
      </c>
      <c r="K1210" s="1">
        <v>45580</v>
      </c>
      <c r="L1210">
        <v>1889.6</v>
      </c>
      <c r="M1210">
        <v>110</v>
      </c>
      <c r="N1210">
        <v>0.35099999999999998</v>
      </c>
      <c r="O1210">
        <v>2.5999999999999999E-2</v>
      </c>
      <c r="P1210">
        <v>2084</v>
      </c>
      <c r="Q1210">
        <v>160</v>
      </c>
      <c r="T1210">
        <v>3280</v>
      </c>
      <c r="U1210">
        <v>250</v>
      </c>
      <c r="X1210">
        <v>668</v>
      </c>
      <c r="Y1210">
        <v>50</v>
      </c>
    </row>
    <row r="1211" spans="1:25" hidden="1" x14ac:dyDescent="0.25">
      <c r="A1211" t="str">
        <f t="shared" si="18"/>
        <v>2024_Qld_Gatton_Chickpea_DetailedTOSTOS2VarietyCBA_CaptainWaterTrtIrrigated</v>
      </c>
      <c r="B1211">
        <v>2024037</v>
      </c>
      <c r="C1211" t="s">
        <v>105</v>
      </c>
      <c r="D1211">
        <v>6</v>
      </c>
      <c r="E1211" t="s">
        <v>34</v>
      </c>
      <c r="F1211" t="s">
        <v>26</v>
      </c>
      <c r="G1211" t="s">
        <v>27</v>
      </c>
      <c r="I1211">
        <v>2</v>
      </c>
      <c r="J1211" t="s">
        <v>107</v>
      </c>
      <c r="K1211" s="1">
        <v>45604</v>
      </c>
      <c r="L1211">
        <v>1274.7</v>
      </c>
      <c r="M1211">
        <v>110</v>
      </c>
      <c r="N1211">
        <v>0.45900000000000002</v>
      </c>
      <c r="O1211">
        <v>2.5000000000000001E-2</v>
      </c>
      <c r="P1211">
        <v>1931</v>
      </c>
      <c r="Q1211">
        <v>160</v>
      </c>
      <c r="T1211">
        <v>2956</v>
      </c>
      <c r="U1211">
        <v>200</v>
      </c>
      <c r="X1211">
        <v>583</v>
      </c>
      <c r="Y1211">
        <v>50</v>
      </c>
    </row>
    <row r="1212" spans="1:25" hidden="1" x14ac:dyDescent="0.25">
      <c r="A1212" t="str">
        <f t="shared" si="18"/>
        <v>2024_Qld_Gatton_Chickpea_DetailedTOSTOS1VarietyCBA_CaptainWaterTrtRainFed</v>
      </c>
      <c r="B1212">
        <v>2024037</v>
      </c>
      <c r="C1212" t="s">
        <v>105</v>
      </c>
      <c r="D1212">
        <v>6</v>
      </c>
      <c r="E1212" t="s">
        <v>34</v>
      </c>
      <c r="F1212" t="s">
        <v>26</v>
      </c>
      <c r="G1212" t="s">
        <v>30</v>
      </c>
      <c r="I1212">
        <v>1</v>
      </c>
      <c r="J1212" t="s">
        <v>106</v>
      </c>
      <c r="K1212" s="1">
        <v>45573</v>
      </c>
      <c r="L1212">
        <v>1331.1</v>
      </c>
      <c r="M1212">
        <v>110</v>
      </c>
      <c r="N1212">
        <v>0.42299999999999999</v>
      </c>
      <c r="O1212">
        <v>2.7E-2</v>
      </c>
      <c r="P1212">
        <v>1463</v>
      </c>
      <c r="Q1212">
        <v>160</v>
      </c>
      <c r="T1212">
        <v>2144</v>
      </c>
      <c r="U1212">
        <v>250</v>
      </c>
      <c r="X1212">
        <v>613</v>
      </c>
      <c r="Y1212">
        <v>50</v>
      </c>
    </row>
    <row r="1213" spans="1:25" hidden="1" x14ac:dyDescent="0.25">
      <c r="A1213" t="str">
        <f t="shared" si="18"/>
        <v>2024_Qld_Gatton_Chickpea_DetailedTOSTOS2VarietyCBA_CaptainWaterTrtRainFed</v>
      </c>
      <c r="B1213">
        <v>2024037</v>
      </c>
      <c r="C1213" t="s">
        <v>105</v>
      </c>
      <c r="D1213">
        <v>6</v>
      </c>
      <c r="E1213" t="s">
        <v>34</v>
      </c>
      <c r="F1213" t="s">
        <v>26</v>
      </c>
      <c r="G1213" t="s">
        <v>30</v>
      </c>
      <c r="I1213">
        <v>2</v>
      </c>
      <c r="J1213" t="s">
        <v>107</v>
      </c>
      <c r="K1213" s="1">
        <v>45595</v>
      </c>
      <c r="L1213">
        <v>910.9</v>
      </c>
      <c r="M1213">
        <v>110</v>
      </c>
      <c r="N1213">
        <v>0.501</v>
      </c>
      <c r="O1213">
        <v>2.5000000000000001E-2</v>
      </c>
      <c r="P1213">
        <v>1647</v>
      </c>
      <c r="Q1213">
        <v>160</v>
      </c>
      <c r="T1213">
        <v>2177</v>
      </c>
      <c r="U1213">
        <v>200</v>
      </c>
      <c r="X1213">
        <v>456</v>
      </c>
      <c r="Y1213">
        <v>50</v>
      </c>
    </row>
    <row r="1214" spans="1:25" hidden="1" x14ac:dyDescent="0.25">
      <c r="A1214" t="str">
        <f t="shared" si="18"/>
        <v>2024_Qld_Gatton_Chickpea_DetailedTOSTOS1VarietyDrummondWaterTrtIrrigated</v>
      </c>
      <c r="B1214">
        <v>2024037</v>
      </c>
      <c r="C1214" t="s">
        <v>105</v>
      </c>
      <c r="D1214">
        <v>6</v>
      </c>
      <c r="E1214" t="s">
        <v>34</v>
      </c>
      <c r="F1214" t="s">
        <v>123</v>
      </c>
      <c r="G1214" t="s">
        <v>27</v>
      </c>
      <c r="I1214">
        <v>1</v>
      </c>
      <c r="J1214" t="s">
        <v>106</v>
      </c>
      <c r="K1214" s="1">
        <v>45580</v>
      </c>
      <c r="L1214">
        <v>1903.1</v>
      </c>
      <c r="M1214">
        <v>110</v>
      </c>
      <c r="N1214">
        <v>0.35299999999999998</v>
      </c>
      <c r="O1214">
        <v>2.5999999999999999E-2</v>
      </c>
      <c r="P1214">
        <v>1886</v>
      </c>
      <c r="Q1214">
        <v>160</v>
      </c>
      <c r="T1214">
        <v>2997</v>
      </c>
      <c r="U1214">
        <v>250</v>
      </c>
      <c r="X1214">
        <v>669</v>
      </c>
      <c r="Y1214">
        <v>50</v>
      </c>
    </row>
    <row r="1215" spans="1:25" hidden="1" x14ac:dyDescent="0.25">
      <c r="A1215" t="str">
        <f t="shared" si="18"/>
        <v>2024_Qld_Gatton_Chickpea_DetailedTOSTOS2VarietyDrummondWaterTrtIrrigated</v>
      </c>
      <c r="B1215">
        <v>2024037</v>
      </c>
      <c r="C1215" t="s">
        <v>105</v>
      </c>
      <c r="D1215">
        <v>6</v>
      </c>
      <c r="E1215" t="s">
        <v>34</v>
      </c>
      <c r="F1215" t="s">
        <v>123</v>
      </c>
      <c r="G1215" t="s">
        <v>27</v>
      </c>
      <c r="I1215">
        <v>2</v>
      </c>
      <c r="J1215" t="s">
        <v>107</v>
      </c>
      <c r="K1215" s="1">
        <v>45604</v>
      </c>
      <c r="L1215">
        <v>1361.6</v>
      </c>
      <c r="M1215">
        <v>110</v>
      </c>
      <c r="N1215">
        <v>0.48799999999999999</v>
      </c>
      <c r="O1215">
        <v>2.5000000000000001E-2</v>
      </c>
      <c r="P1215">
        <v>2000</v>
      </c>
      <c r="Q1215">
        <v>160</v>
      </c>
      <c r="T1215">
        <v>3039</v>
      </c>
      <c r="U1215">
        <v>200</v>
      </c>
      <c r="X1215">
        <v>667</v>
      </c>
      <c r="Y1215">
        <v>50</v>
      </c>
    </row>
    <row r="1216" spans="1:25" hidden="1" x14ac:dyDescent="0.25">
      <c r="A1216" t="str">
        <f t="shared" si="18"/>
        <v>2024_Qld_Gatton_Chickpea_DetailedTOSTOS1VarietyDrummondWaterTrtRainFed</v>
      </c>
      <c r="B1216">
        <v>2024037</v>
      </c>
      <c r="C1216" t="s">
        <v>105</v>
      </c>
      <c r="D1216">
        <v>6</v>
      </c>
      <c r="E1216" t="s">
        <v>34</v>
      </c>
      <c r="F1216" t="s">
        <v>123</v>
      </c>
      <c r="G1216" t="s">
        <v>30</v>
      </c>
      <c r="I1216">
        <v>1</v>
      </c>
      <c r="J1216" t="s">
        <v>106</v>
      </c>
      <c r="K1216" s="1">
        <v>45573</v>
      </c>
      <c r="L1216">
        <v>1190.2</v>
      </c>
      <c r="M1216">
        <v>110</v>
      </c>
      <c r="N1216">
        <v>0.433</v>
      </c>
      <c r="O1216">
        <v>2.5999999999999999E-2</v>
      </c>
      <c r="P1216">
        <v>1294</v>
      </c>
      <c r="Q1216">
        <v>160</v>
      </c>
      <c r="T1216">
        <v>1735</v>
      </c>
      <c r="U1216">
        <v>250</v>
      </c>
      <c r="X1216">
        <v>492</v>
      </c>
      <c r="Y1216">
        <v>50</v>
      </c>
    </row>
    <row r="1217" spans="1:25" hidden="1" x14ac:dyDescent="0.25">
      <c r="A1217" t="str">
        <f t="shared" si="18"/>
        <v>2024_Qld_Gatton_Chickpea_DetailedTOSTOS2VarietyDrummondWaterTrtRainFed</v>
      </c>
      <c r="B1217">
        <v>2024037</v>
      </c>
      <c r="C1217" t="s">
        <v>105</v>
      </c>
      <c r="D1217">
        <v>6</v>
      </c>
      <c r="E1217" t="s">
        <v>34</v>
      </c>
      <c r="F1217" t="s">
        <v>123</v>
      </c>
      <c r="G1217" t="s">
        <v>30</v>
      </c>
      <c r="I1217">
        <v>2</v>
      </c>
      <c r="J1217" t="s">
        <v>107</v>
      </c>
      <c r="K1217" s="1">
        <v>45595</v>
      </c>
      <c r="L1217">
        <v>978.9</v>
      </c>
      <c r="M1217">
        <v>110</v>
      </c>
      <c r="N1217">
        <v>0.5</v>
      </c>
      <c r="O1217">
        <v>2.5000000000000001E-2</v>
      </c>
      <c r="P1217">
        <v>1806</v>
      </c>
      <c r="Q1217">
        <v>160</v>
      </c>
      <c r="T1217">
        <v>2538</v>
      </c>
      <c r="U1217">
        <v>200</v>
      </c>
      <c r="X1217">
        <v>488</v>
      </c>
      <c r="Y1217">
        <v>50</v>
      </c>
    </row>
    <row r="1218" spans="1:25" hidden="1" x14ac:dyDescent="0.25">
      <c r="A1218" t="str">
        <f t="shared" si="18"/>
        <v>2024_Qld_Gatton_Chickpea_DetailedTOSTOS1VarietyHatTrickWaterTrtIrrigated</v>
      </c>
      <c r="B1218">
        <v>2024037</v>
      </c>
      <c r="C1218" t="s">
        <v>105</v>
      </c>
      <c r="D1218">
        <v>6</v>
      </c>
      <c r="E1218" t="s">
        <v>34</v>
      </c>
      <c r="F1218" t="s">
        <v>124</v>
      </c>
      <c r="G1218" t="s">
        <v>27</v>
      </c>
      <c r="I1218">
        <v>1</v>
      </c>
      <c r="J1218" t="s">
        <v>106</v>
      </c>
      <c r="K1218" s="1">
        <v>45580</v>
      </c>
      <c r="L1218">
        <v>2235.6999999999998</v>
      </c>
      <c r="M1218">
        <v>110</v>
      </c>
      <c r="N1218">
        <v>0.34100000000000003</v>
      </c>
      <c r="O1218">
        <v>2.5999999999999999E-2</v>
      </c>
      <c r="P1218">
        <v>3139</v>
      </c>
      <c r="Q1218">
        <v>160</v>
      </c>
      <c r="T1218">
        <v>3597</v>
      </c>
      <c r="U1218">
        <v>250</v>
      </c>
      <c r="X1218">
        <v>759</v>
      </c>
      <c r="Y1218">
        <v>50</v>
      </c>
    </row>
    <row r="1219" spans="1:25" hidden="1" x14ac:dyDescent="0.25">
      <c r="A1219" t="str">
        <f t="shared" ref="A1219:A1282" si="19">C1219&amp;"TOSTOS"&amp;I1219&amp;"Variety"&amp;F1219&amp;"WaterTrt"&amp;G1219&amp;IF(H1219="","","Agronomy"&amp;H1219)</f>
        <v>2024_Qld_Gatton_Chickpea_DetailedTOSTOS2VarietyHatTrickWaterTrtIrrigated</v>
      </c>
      <c r="B1219">
        <v>2024037</v>
      </c>
      <c r="C1219" t="s">
        <v>105</v>
      </c>
      <c r="D1219">
        <v>6</v>
      </c>
      <c r="E1219" t="s">
        <v>34</v>
      </c>
      <c r="F1219" t="s">
        <v>124</v>
      </c>
      <c r="G1219" t="s">
        <v>27</v>
      </c>
      <c r="I1219">
        <v>2</v>
      </c>
      <c r="J1219" t="s">
        <v>107</v>
      </c>
      <c r="K1219" s="1">
        <v>45604</v>
      </c>
      <c r="L1219">
        <v>1266.8</v>
      </c>
      <c r="M1219">
        <v>110</v>
      </c>
      <c r="N1219">
        <v>0.436</v>
      </c>
      <c r="O1219">
        <v>2.5000000000000001E-2</v>
      </c>
      <c r="P1219">
        <v>2482</v>
      </c>
      <c r="Q1219">
        <v>160</v>
      </c>
      <c r="T1219">
        <v>2905</v>
      </c>
      <c r="U1219">
        <v>200</v>
      </c>
      <c r="X1219">
        <v>554</v>
      </c>
      <c r="Y1219">
        <v>50</v>
      </c>
    </row>
    <row r="1220" spans="1:25" hidden="1" x14ac:dyDescent="0.25">
      <c r="A1220" t="str">
        <f t="shared" si="19"/>
        <v>2024_Qld_Gatton_Chickpea_DetailedTOSTOS1VarietyHatTrickWaterTrtRainFed</v>
      </c>
      <c r="B1220">
        <v>2024037</v>
      </c>
      <c r="C1220" t="s">
        <v>105</v>
      </c>
      <c r="D1220">
        <v>6</v>
      </c>
      <c r="E1220" t="s">
        <v>34</v>
      </c>
      <c r="F1220" t="s">
        <v>124</v>
      </c>
      <c r="G1220" t="s">
        <v>30</v>
      </c>
      <c r="I1220">
        <v>1</v>
      </c>
      <c r="J1220" t="s">
        <v>106</v>
      </c>
      <c r="K1220" s="1">
        <v>45573</v>
      </c>
      <c r="L1220">
        <v>1361.8</v>
      </c>
      <c r="M1220">
        <v>110</v>
      </c>
      <c r="N1220">
        <v>0.41</v>
      </c>
      <c r="O1220">
        <v>2.5999999999999999E-2</v>
      </c>
      <c r="P1220">
        <v>1989</v>
      </c>
      <c r="Q1220">
        <v>160</v>
      </c>
      <c r="T1220">
        <v>2030</v>
      </c>
      <c r="U1220">
        <v>250</v>
      </c>
      <c r="X1220">
        <v>546</v>
      </c>
      <c r="Y1220">
        <v>50</v>
      </c>
    </row>
    <row r="1221" spans="1:25" hidden="1" x14ac:dyDescent="0.25">
      <c r="A1221" t="str">
        <f t="shared" si="19"/>
        <v>2024_Qld_Gatton_Chickpea_DetailedTOSTOS2VarietyHatTrickWaterTrtRainFed</v>
      </c>
      <c r="B1221">
        <v>2024037</v>
      </c>
      <c r="C1221" t="s">
        <v>105</v>
      </c>
      <c r="D1221">
        <v>6</v>
      </c>
      <c r="E1221" t="s">
        <v>34</v>
      </c>
      <c r="F1221" t="s">
        <v>124</v>
      </c>
      <c r="G1221" t="s">
        <v>30</v>
      </c>
      <c r="I1221">
        <v>2</v>
      </c>
      <c r="J1221" t="s">
        <v>107</v>
      </c>
      <c r="K1221" s="1">
        <v>45595</v>
      </c>
      <c r="L1221">
        <v>867.3</v>
      </c>
      <c r="M1221">
        <v>110</v>
      </c>
      <c r="N1221">
        <v>0.47399999999999998</v>
      </c>
      <c r="O1221">
        <v>2.5000000000000001E-2</v>
      </c>
      <c r="P1221">
        <v>1912</v>
      </c>
      <c r="Q1221">
        <v>160</v>
      </c>
      <c r="T1221">
        <v>2119</v>
      </c>
      <c r="U1221">
        <v>200</v>
      </c>
      <c r="X1221">
        <v>410</v>
      </c>
      <c r="Y1221">
        <v>50</v>
      </c>
    </row>
    <row r="1222" spans="1:25" hidden="1" x14ac:dyDescent="0.25">
      <c r="A1222" t="str">
        <f t="shared" si="19"/>
        <v>2024_Qld_Gatton_Chickpea_DetailedTOSTOS1VarietyStrikerWaterTrtIrrigated</v>
      </c>
      <c r="B1222">
        <v>2024037</v>
      </c>
      <c r="C1222" t="s">
        <v>105</v>
      </c>
      <c r="D1222">
        <v>6</v>
      </c>
      <c r="E1222" t="s">
        <v>34</v>
      </c>
      <c r="F1222" t="s">
        <v>125</v>
      </c>
      <c r="G1222" t="s">
        <v>27</v>
      </c>
      <c r="I1222">
        <v>1</v>
      </c>
      <c r="J1222" t="s">
        <v>106</v>
      </c>
      <c r="K1222" s="1">
        <v>45580</v>
      </c>
      <c r="L1222">
        <v>1829.3</v>
      </c>
      <c r="M1222">
        <v>110</v>
      </c>
      <c r="N1222">
        <v>0.35899999999999999</v>
      </c>
      <c r="O1222">
        <v>2.5999999999999999E-2</v>
      </c>
      <c r="P1222">
        <v>2036</v>
      </c>
      <c r="Q1222">
        <v>160</v>
      </c>
      <c r="T1222">
        <v>2794</v>
      </c>
      <c r="U1222">
        <v>250</v>
      </c>
      <c r="X1222">
        <v>661</v>
      </c>
      <c r="Y1222">
        <v>50</v>
      </c>
    </row>
    <row r="1223" spans="1:25" hidden="1" x14ac:dyDescent="0.25">
      <c r="A1223" t="str">
        <f t="shared" si="19"/>
        <v>2024_Qld_Gatton_Chickpea_DetailedTOSTOS2VarietyStrikerWaterTrtIrrigated</v>
      </c>
      <c r="B1223">
        <v>2024037</v>
      </c>
      <c r="C1223" t="s">
        <v>105</v>
      </c>
      <c r="D1223">
        <v>6</v>
      </c>
      <c r="E1223" t="s">
        <v>34</v>
      </c>
      <c r="F1223" t="s">
        <v>125</v>
      </c>
      <c r="G1223" t="s">
        <v>27</v>
      </c>
      <c r="I1223">
        <v>2</v>
      </c>
      <c r="J1223" t="s">
        <v>107</v>
      </c>
      <c r="K1223" s="1">
        <v>45604</v>
      </c>
      <c r="L1223">
        <v>1396.4</v>
      </c>
      <c r="M1223">
        <v>110</v>
      </c>
      <c r="N1223">
        <v>0.48099999999999998</v>
      </c>
      <c r="O1223">
        <v>2.5000000000000001E-2</v>
      </c>
      <c r="P1223">
        <v>2218</v>
      </c>
      <c r="Q1223">
        <v>160</v>
      </c>
      <c r="T1223">
        <v>3249</v>
      </c>
      <c r="U1223">
        <v>200</v>
      </c>
      <c r="X1223">
        <v>674</v>
      </c>
      <c r="Y1223">
        <v>50</v>
      </c>
    </row>
    <row r="1224" spans="1:25" hidden="1" x14ac:dyDescent="0.25">
      <c r="A1224" t="str">
        <f t="shared" si="19"/>
        <v>2024_Qld_Gatton_Chickpea_DetailedTOSTOS1VarietyStrikerWaterTrtRainFed</v>
      </c>
      <c r="B1224">
        <v>2024037</v>
      </c>
      <c r="C1224" t="s">
        <v>105</v>
      </c>
      <c r="D1224">
        <v>6</v>
      </c>
      <c r="E1224" t="s">
        <v>34</v>
      </c>
      <c r="F1224" t="s">
        <v>125</v>
      </c>
      <c r="G1224" t="s">
        <v>30</v>
      </c>
      <c r="I1224">
        <v>1</v>
      </c>
      <c r="J1224" t="s">
        <v>106</v>
      </c>
      <c r="K1224" s="1">
        <v>45573</v>
      </c>
      <c r="L1224">
        <v>1085.5999999999999</v>
      </c>
      <c r="M1224">
        <v>110</v>
      </c>
      <c r="N1224">
        <v>0.42799999999999999</v>
      </c>
      <c r="O1224">
        <v>2.5999999999999999E-2</v>
      </c>
      <c r="P1224">
        <v>1310</v>
      </c>
      <c r="Q1224">
        <v>160</v>
      </c>
      <c r="T1224">
        <v>1701</v>
      </c>
      <c r="U1224">
        <v>250</v>
      </c>
      <c r="X1224">
        <v>459</v>
      </c>
      <c r="Y1224">
        <v>50</v>
      </c>
    </row>
    <row r="1225" spans="1:25" hidden="1" x14ac:dyDescent="0.25">
      <c r="A1225" t="str">
        <f t="shared" si="19"/>
        <v>2024_Qld_Gatton_Chickpea_DetailedTOSTOS2VarietyStrikerWaterTrtRainFed</v>
      </c>
      <c r="B1225">
        <v>2024037</v>
      </c>
      <c r="C1225" t="s">
        <v>105</v>
      </c>
      <c r="D1225">
        <v>6</v>
      </c>
      <c r="E1225" t="s">
        <v>34</v>
      </c>
      <c r="F1225" t="s">
        <v>125</v>
      </c>
      <c r="G1225" t="s">
        <v>30</v>
      </c>
      <c r="I1225">
        <v>2</v>
      </c>
      <c r="J1225" t="s">
        <v>107</v>
      </c>
      <c r="K1225" s="1">
        <v>45595</v>
      </c>
      <c r="L1225">
        <v>906.6</v>
      </c>
      <c r="M1225">
        <v>110</v>
      </c>
      <c r="N1225">
        <v>0.49099999999999999</v>
      </c>
      <c r="O1225">
        <v>2.5000000000000001E-2</v>
      </c>
      <c r="P1225">
        <v>1579</v>
      </c>
      <c r="Q1225">
        <v>160</v>
      </c>
      <c r="T1225">
        <v>2156</v>
      </c>
      <c r="U1225">
        <v>200</v>
      </c>
      <c r="X1225">
        <v>445</v>
      </c>
      <c r="Y1225">
        <v>50</v>
      </c>
    </row>
    <row r="1226" spans="1:25" hidden="1" x14ac:dyDescent="0.25">
      <c r="A1226" t="str">
        <f t="shared" si="19"/>
        <v>2024_Vic_Kalkee_Chickpea_DetailedTOSTOS1VarietyCBA_CaptainWaterTrtIrrigated</v>
      </c>
      <c r="B1226">
        <v>2024038</v>
      </c>
      <c r="C1226" t="s">
        <v>108</v>
      </c>
      <c r="D1226">
        <v>2</v>
      </c>
      <c r="E1226" t="s">
        <v>25</v>
      </c>
      <c r="F1226" t="s">
        <v>26</v>
      </c>
      <c r="G1226" t="s">
        <v>27</v>
      </c>
      <c r="I1226">
        <v>1</v>
      </c>
      <c r="J1226" t="s">
        <v>109</v>
      </c>
      <c r="K1226" s="1">
        <v>45516</v>
      </c>
      <c r="L1226">
        <v>6.1</v>
      </c>
      <c r="M1226">
        <v>0.7</v>
      </c>
    </row>
    <row r="1227" spans="1:25" hidden="1" x14ac:dyDescent="0.25">
      <c r="A1227" t="str">
        <f t="shared" si="19"/>
        <v>2024_Vic_Kalkee_Chickpea_DetailedTOSTOS2VarietyCBA_CaptainWaterTrtIrrigated</v>
      </c>
      <c r="B1227">
        <v>2024038</v>
      </c>
      <c r="C1227" t="s">
        <v>108</v>
      </c>
      <c r="D1227">
        <v>2</v>
      </c>
      <c r="E1227" t="s">
        <v>25</v>
      </c>
      <c r="F1227" t="s">
        <v>26</v>
      </c>
      <c r="G1227" t="s">
        <v>27</v>
      </c>
      <c r="I1227">
        <v>2</v>
      </c>
      <c r="J1227" t="s">
        <v>110</v>
      </c>
      <c r="K1227" s="1">
        <v>45532</v>
      </c>
      <c r="L1227">
        <v>4.5</v>
      </c>
      <c r="M1227">
        <v>0.7</v>
      </c>
    </row>
    <row r="1228" spans="1:25" hidden="1" x14ac:dyDescent="0.25">
      <c r="A1228" t="str">
        <f t="shared" si="19"/>
        <v>2024_Vic_Kalkee_Chickpea_DetailedTOSTOS1VarietyCBA_CaptainWaterTrtRainFed</v>
      </c>
      <c r="B1228">
        <v>2024038</v>
      </c>
      <c r="C1228" t="s">
        <v>108</v>
      </c>
      <c r="D1228">
        <v>2</v>
      </c>
      <c r="E1228" t="s">
        <v>25</v>
      </c>
      <c r="F1228" t="s">
        <v>26</v>
      </c>
      <c r="G1228" t="s">
        <v>30</v>
      </c>
      <c r="I1228">
        <v>1</v>
      </c>
      <c r="J1228" t="s">
        <v>109</v>
      </c>
      <c r="K1228" s="1">
        <v>45516</v>
      </c>
      <c r="L1228">
        <v>6.6</v>
      </c>
      <c r="M1228">
        <v>0.7</v>
      </c>
    </row>
    <row r="1229" spans="1:25" hidden="1" x14ac:dyDescent="0.25">
      <c r="A1229" t="str">
        <f t="shared" si="19"/>
        <v>2024_Vic_Kalkee_Chickpea_DetailedTOSTOS2VarietyCBA_CaptainWaterTrtRainFed</v>
      </c>
      <c r="B1229">
        <v>2024038</v>
      </c>
      <c r="C1229" t="s">
        <v>108</v>
      </c>
      <c r="D1229">
        <v>2</v>
      </c>
      <c r="E1229" t="s">
        <v>25</v>
      </c>
      <c r="F1229" t="s">
        <v>26</v>
      </c>
      <c r="G1229" t="s">
        <v>30</v>
      </c>
      <c r="I1229">
        <v>2</v>
      </c>
      <c r="J1229" t="s">
        <v>110</v>
      </c>
      <c r="K1229" s="1">
        <v>45532</v>
      </c>
      <c r="L1229">
        <v>6.3</v>
      </c>
      <c r="M1229">
        <v>0.7</v>
      </c>
    </row>
    <row r="1230" spans="1:25" hidden="1" x14ac:dyDescent="0.25">
      <c r="A1230" t="str">
        <f t="shared" si="19"/>
        <v>2024_Vic_Kalkee_Chickpea_DetailedTOSTOS1VarietyDrummondWaterTrtIrrigated</v>
      </c>
      <c r="B1230">
        <v>2024038</v>
      </c>
      <c r="C1230" t="s">
        <v>108</v>
      </c>
      <c r="D1230">
        <v>2</v>
      </c>
      <c r="E1230" t="s">
        <v>25</v>
      </c>
      <c r="F1230" t="s">
        <v>123</v>
      </c>
      <c r="G1230" t="s">
        <v>27</v>
      </c>
      <c r="I1230">
        <v>1</v>
      </c>
      <c r="J1230" t="s">
        <v>109</v>
      </c>
      <c r="K1230" s="1">
        <v>45516</v>
      </c>
      <c r="L1230">
        <v>5.2</v>
      </c>
      <c r="M1230">
        <v>0.7</v>
      </c>
    </row>
    <row r="1231" spans="1:25" hidden="1" x14ac:dyDescent="0.25">
      <c r="A1231" t="str">
        <f t="shared" si="19"/>
        <v>2024_Vic_Kalkee_Chickpea_DetailedTOSTOS2VarietyDrummondWaterTrtIrrigated</v>
      </c>
      <c r="B1231">
        <v>2024038</v>
      </c>
      <c r="C1231" t="s">
        <v>108</v>
      </c>
      <c r="D1231">
        <v>2</v>
      </c>
      <c r="E1231" t="s">
        <v>25</v>
      </c>
      <c r="F1231" t="s">
        <v>123</v>
      </c>
      <c r="G1231" t="s">
        <v>27</v>
      </c>
      <c r="I1231">
        <v>2</v>
      </c>
      <c r="J1231" t="s">
        <v>110</v>
      </c>
      <c r="K1231" s="1">
        <v>45532</v>
      </c>
      <c r="L1231">
        <v>4.7</v>
      </c>
      <c r="M1231">
        <v>0.7</v>
      </c>
    </row>
    <row r="1232" spans="1:25" hidden="1" x14ac:dyDescent="0.25">
      <c r="A1232" t="str">
        <f t="shared" si="19"/>
        <v>2024_Vic_Kalkee_Chickpea_DetailedTOSTOS1VarietyDrummondWaterTrtRainFed</v>
      </c>
      <c r="B1232">
        <v>2024038</v>
      </c>
      <c r="C1232" t="s">
        <v>108</v>
      </c>
      <c r="D1232">
        <v>2</v>
      </c>
      <c r="E1232" t="s">
        <v>25</v>
      </c>
      <c r="F1232" t="s">
        <v>123</v>
      </c>
      <c r="G1232" t="s">
        <v>30</v>
      </c>
      <c r="I1232">
        <v>1</v>
      </c>
      <c r="J1232" t="s">
        <v>109</v>
      </c>
      <c r="K1232" s="1">
        <v>45516</v>
      </c>
      <c r="L1232">
        <v>5.3</v>
      </c>
      <c r="M1232">
        <v>0.7</v>
      </c>
    </row>
    <row r="1233" spans="1:13" hidden="1" x14ac:dyDescent="0.25">
      <c r="A1233" t="str">
        <f t="shared" si="19"/>
        <v>2024_Vic_Kalkee_Chickpea_DetailedTOSTOS2VarietyDrummondWaterTrtRainFed</v>
      </c>
      <c r="B1233">
        <v>2024038</v>
      </c>
      <c r="C1233" t="s">
        <v>108</v>
      </c>
      <c r="D1233">
        <v>2</v>
      </c>
      <c r="E1233" t="s">
        <v>25</v>
      </c>
      <c r="F1233" t="s">
        <v>123</v>
      </c>
      <c r="G1233" t="s">
        <v>30</v>
      </c>
      <c r="I1233">
        <v>2</v>
      </c>
      <c r="J1233" t="s">
        <v>110</v>
      </c>
      <c r="K1233" s="1">
        <v>45532</v>
      </c>
      <c r="L1233">
        <v>6</v>
      </c>
      <c r="M1233">
        <v>0.7</v>
      </c>
    </row>
    <row r="1234" spans="1:13" hidden="1" x14ac:dyDescent="0.25">
      <c r="A1234" t="str">
        <f t="shared" si="19"/>
        <v>2024_Vic_Kalkee_Chickpea_DetailedTOSTOS1VarietyHatTrickWaterTrtIrrigated</v>
      </c>
      <c r="B1234">
        <v>2024038</v>
      </c>
      <c r="C1234" t="s">
        <v>108</v>
      </c>
      <c r="D1234">
        <v>2</v>
      </c>
      <c r="E1234" t="s">
        <v>25</v>
      </c>
      <c r="F1234" t="s">
        <v>124</v>
      </c>
      <c r="G1234" t="s">
        <v>27</v>
      </c>
      <c r="I1234">
        <v>1</v>
      </c>
      <c r="J1234" t="s">
        <v>109</v>
      </c>
      <c r="K1234" s="1">
        <v>45516</v>
      </c>
      <c r="L1234">
        <v>3.7</v>
      </c>
      <c r="M1234">
        <v>0.7</v>
      </c>
    </row>
    <row r="1235" spans="1:13" hidden="1" x14ac:dyDescent="0.25">
      <c r="A1235" t="str">
        <f t="shared" si="19"/>
        <v>2024_Vic_Kalkee_Chickpea_DetailedTOSTOS2VarietyHatTrickWaterTrtIrrigated</v>
      </c>
      <c r="B1235">
        <v>2024038</v>
      </c>
      <c r="C1235" t="s">
        <v>108</v>
      </c>
      <c r="D1235">
        <v>2</v>
      </c>
      <c r="E1235" t="s">
        <v>25</v>
      </c>
      <c r="F1235" t="s">
        <v>124</v>
      </c>
      <c r="G1235" t="s">
        <v>27</v>
      </c>
      <c r="I1235">
        <v>2</v>
      </c>
      <c r="J1235" t="s">
        <v>110</v>
      </c>
      <c r="K1235" s="1">
        <v>45532</v>
      </c>
      <c r="L1235">
        <v>3.7</v>
      </c>
      <c r="M1235">
        <v>0.7</v>
      </c>
    </row>
    <row r="1236" spans="1:13" hidden="1" x14ac:dyDescent="0.25">
      <c r="A1236" t="str">
        <f t="shared" si="19"/>
        <v>2024_Vic_Kalkee_Chickpea_DetailedTOSTOS1VarietyHatTrickWaterTrtRainFed</v>
      </c>
      <c r="B1236">
        <v>2024038</v>
      </c>
      <c r="C1236" t="s">
        <v>108</v>
      </c>
      <c r="D1236">
        <v>2</v>
      </c>
      <c r="E1236" t="s">
        <v>25</v>
      </c>
      <c r="F1236" t="s">
        <v>124</v>
      </c>
      <c r="G1236" t="s">
        <v>30</v>
      </c>
      <c r="I1236">
        <v>1</v>
      </c>
      <c r="J1236" t="s">
        <v>109</v>
      </c>
      <c r="K1236" s="1">
        <v>45516</v>
      </c>
      <c r="L1236">
        <v>3.1</v>
      </c>
      <c r="M1236">
        <v>0.7</v>
      </c>
    </row>
    <row r="1237" spans="1:13" hidden="1" x14ac:dyDescent="0.25">
      <c r="A1237" t="str">
        <f t="shared" si="19"/>
        <v>2024_Vic_Kalkee_Chickpea_DetailedTOSTOS2VarietyHatTrickWaterTrtRainFed</v>
      </c>
      <c r="B1237">
        <v>2024038</v>
      </c>
      <c r="C1237" t="s">
        <v>108</v>
      </c>
      <c r="D1237">
        <v>2</v>
      </c>
      <c r="E1237" t="s">
        <v>25</v>
      </c>
      <c r="F1237" t="s">
        <v>124</v>
      </c>
      <c r="G1237" t="s">
        <v>30</v>
      </c>
      <c r="I1237">
        <v>2</v>
      </c>
      <c r="J1237" t="s">
        <v>110</v>
      </c>
      <c r="K1237" s="1">
        <v>45532</v>
      </c>
      <c r="L1237">
        <v>3.2</v>
      </c>
      <c r="M1237">
        <v>0.7</v>
      </c>
    </row>
    <row r="1238" spans="1:13" hidden="1" x14ac:dyDescent="0.25">
      <c r="A1238" t="str">
        <f t="shared" si="19"/>
        <v>2024_Vic_Kalkee_Chickpea_DetailedTOSTOS1VarietyStrikerWaterTrtIrrigated</v>
      </c>
      <c r="B1238">
        <v>2024038</v>
      </c>
      <c r="C1238" t="s">
        <v>108</v>
      </c>
      <c r="D1238">
        <v>2</v>
      </c>
      <c r="E1238" t="s">
        <v>25</v>
      </c>
      <c r="F1238" t="s">
        <v>125</v>
      </c>
      <c r="G1238" t="s">
        <v>27</v>
      </c>
      <c r="I1238">
        <v>1</v>
      </c>
      <c r="J1238" t="s">
        <v>109</v>
      </c>
      <c r="K1238" s="1">
        <v>45516</v>
      </c>
      <c r="L1238">
        <v>9.6</v>
      </c>
      <c r="M1238">
        <v>0.7</v>
      </c>
    </row>
    <row r="1239" spans="1:13" hidden="1" x14ac:dyDescent="0.25">
      <c r="A1239" t="str">
        <f t="shared" si="19"/>
        <v>2024_Vic_Kalkee_Chickpea_DetailedTOSTOS2VarietyStrikerWaterTrtIrrigated</v>
      </c>
      <c r="B1239">
        <v>2024038</v>
      </c>
      <c r="C1239" t="s">
        <v>108</v>
      </c>
      <c r="D1239">
        <v>2</v>
      </c>
      <c r="E1239" t="s">
        <v>25</v>
      </c>
      <c r="F1239" t="s">
        <v>125</v>
      </c>
      <c r="G1239" t="s">
        <v>27</v>
      </c>
      <c r="I1239">
        <v>2</v>
      </c>
      <c r="J1239" t="s">
        <v>110</v>
      </c>
      <c r="K1239" s="1">
        <v>45532</v>
      </c>
      <c r="L1239">
        <v>7.2</v>
      </c>
      <c r="M1239">
        <v>0.7</v>
      </c>
    </row>
    <row r="1240" spans="1:13" hidden="1" x14ac:dyDescent="0.25">
      <c r="A1240" t="str">
        <f t="shared" si="19"/>
        <v>2024_Vic_Kalkee_Chickpea_DetailedTOSTOS1VarietyStrikerWaterTrtRainFed</v>
      </c>
      <c r="B1240">
        <v>2024038</v>
      </c>
      <c r="C1240" t="s">
        <v>108</v>
      </c>
      <c r="D1240">
        <v>2</v>
      </c>
      <c r="E1240" t="s">
        <v>25</v>
      </c>
      <c r="F1240" t="s">
        <v>125</v>
      </c>
      <c r="G1240" t="s">
        <v>30</v>
      </c>
      <c r="I1240">
        <v>1</v>
      </c>
      <c r="J1240" t="s">
        <v>109</v>
      </c>
      <c r="K1240" s="1">
        <v>45516</v>
      </c>
      <c r="L1240">
        <v>4.5999999999999996</v>
      </c>
      <c r="M1240">
        <v>0.7</v>
      </c>
    </row>
    <row r="1241" spans="1:13" hidden="1" x14ac:dyDescent="0.25">
      <c r="A1241" t="str">
        <f t="shared" si="19"/>
        <v>2024_Vic_Kalkee_Chickpea_DetailedTOSTOS2VarietyStrikerWaterTrtRainFed</v>
      </c>
      <c r="B1241">
        <v>2024038</v>
      </c>
      <c r="C1241" t="s">
        <v>108</v>
      </c>
      <c r="D1241">
        <v>2</v>
      </c>
      <c r="E1241" t="s">
        <v>25</v>
      </c>
      <c r="F1241" t="s">
        <v>125</v>
      </c>
      <c r="G1241" t="s">
        <v>30</v>
      </c>
      <c r="I1241">
        <v>2</v>
      </c>
      <c r="J1241" t="s">
        <v>110</v>
      </c>
      <c r="K1241" s="1">
        <v>45532</v>
      </c>
      <c r="L1241">
        <v>7.9</v>
      </c>
      <c r="M1241">
        <v>0.7</v>
      </c>
    </row>
    <row r="1242" spans="1:13" hidden="1" x14ac:dyDescent="0.25">
      <c r="A1242" t="str">
        <f t="shared" si="19"/>
        <v>2024_Vic_Kalkee_Chickpea_DetailedTOSTOS1VarietyCBA_CaptainWaterTrtIrrigated</v>
      </c>
      <c r="B1242">
        <v>2024038</v>
      </c>
      <c r="C1242" t="s">
        <v>108</v>
      </c>
      <c r="D1242">
        <v>3</v>
      </c>
      <c r="E1242" t="s">
        <v>31</v>
      </c>
      <c r="F1242" t="s">
        <v>26</v>
      </c>
      <c r="G1242" t="s">
        <v>27</v>
      </c>
      <c r="I1242">
        <v>1</v>
      </c>
      <c r="J1242" t="s">
        <v>109</v>
      </c>
      <c r="K1242" s="1">
        <v>45537</v>
      </c>
      <c r="L1242">
        <v>26.2</v>
      </c>
      <c r="M1242">
        <v>3.8</v>
      </c>
    </row>
    <row r="1243" spans="1:13" hidden="1" x14ac:dyDescent="0.25">
      <c r="A1243" t="str">
        <f t="shared" si="19"/>
        <v>2024_Vic_Kalkee_Chickpea_DetailedTOSTOS2VarietyCBA_CaptainWaterTrtIrrigated</v>
      </c>
      <c r="B1243">
        <v>2024038</v>
      </c>
      <c r="C1243" t="s">
        <v>108</v>
      </c>
      <c r="D1243">
        <v>3</v>
      </c>
      <c r="E1243" t="s">
        <v>31</v>
      </c>
      <c r="F1243" t="s">
        <v>26</v>
      </c>
      <c r="G1243" t="s">
        <v>27</v>
      </c>
      <c r="I1243">
        <v>2</v>
      </c>
      <c r="J1243" t="s">
        <v>110</v>
      </c>
      <c r="K1243" s="1">
        <v>45558</v>
      </c>
      <c r="L1243">
        <v>25.8</v>
      </c>
      <c r="M1243">
        <v>3.8</v>
      </c>
    </row>
    <row r="1244" spans="1:13" hidden="1" x14ac:dyDescent="0.25">
      <c r="A1244" t="str">
        <f t="shared" si="19"/>
        <v>2024_Vic_Kalkee_Chickpea_DetailedTOSTOS1VarietyCBA_CaptainWaterTrtRainFed</v>
      </c>
      <c r="B1244">
        <v>2024038</v>
      </c>
      <c r="C1244" t="s">
        <v>108</v>
      </c>
      <c r="D1244">
        <v>3</v>
      </c>
      <c r="E1244" t="s">
        <v>31</v>
      </c>
      <c r="F1244" t="s">
        <v>26</v>
      </c>
      <c r="G1244" t="s">
        <v>30</v>
      </c>
      <c r="I1244">
        <v>1</v>
      </c>
      <c r="J1244" t="s">
        <v>109</v>
      </c>
      <c r="K1244" s="1">
        <v>45537</v>
      </c>
      <c r="L1244">
        <v>28.7</v>
      </c>
      <c r="M1244">
        <v>3.8</v>
      </c>
    </row>
    <row r="1245" spans="1:13" hidden="1" x14ac:dyDescent="0.25">
      <c r="A1245" t="str">
        <f t="shared" si="19"/>
        <v>2024_Vic_Kalkee_Chickpea_DetailedTOSTOS2VarietyCBA_CaptainWaterTrtRainFed</v>
      </c>
      <c r="B1245">
        <v>2024038</v>
      </c>
      <c r="C1245" t="s">
        <v>108</v>
      </c>
      <c r="D1245">
        <v>3</v>
      </c>
      <c r="E1245" t="s">
        <v>31</v>
      </c>
      <c r="F1245" t="s">
        <v>26</v>
      </c>
      <c r="G1245" t="s">
        <v>30</v>
      </c>
      <c r="I1245">
        <v>2</v>
      </c>
      <c r="J1245" t="s">
        <v>110</v>
      </c>
      <c r="K1245" s="1">
        <v>45558</v>
      </c>
      <c r="L1245">
        <v>35.4</v>
      </c>
      <c r="M1245">
        <v>3.8</v>
      </c>
    </row>
    <row r="1246" spans="1:13" hidden="1" x14ac:dyDescent="0.25">
      <c r="A1246" t="str">
        <f t="shared" si="19"/>
        <v>2024_Vic_Kalkee_Chickpea_DetailedTOSTOS1VarietyDrummondWaterTrtIrrigated</v>
      </c>
      <c r="B1246">
        <v>2024038</v>
      </c>
      <c r="C1246" t="s">
        <v>108</v>
      </c>
      <c r="D1246">
        <v>3</v>
      </c>
      <c r="E1246" t="s">
        <v>31</v>
      </c>
      <c r="F1246" t="s">
        <v>123</v>
      </c>
      <c r="G1246" t="s">
        <v>27</v>
      </c>
      <c r="I1246">
        <v>1</v>
      </c>
      <c r="J1246" t="s">
        <v>109</v>
      </c>
      <c r="K1246" s="1">
        <v>45537</v>
      </c>
      <c r="L1246">
        <v>25.5</v>
      </c>
      <c r="M1246">
        <v>3.8</v>
      </c>
    </row>
    <row r="1247" spans="1:13" hidden="1" x14ac:dyDescent="0.25">
      <c r="A1247" t="str">
        <f t="shared" si="19"/>
        <v>2024_Vic_Kalkee_Chickpea_DetailedTOSTOS2VarietyDrummondWaterTrtIrrigated</v>
      </c>
      <c r="B1247">
        <v>2024038</v>
      </c>
      <c r="C1247" t="s">
        <v>108</v>
      </c>
      <c r="D1247">
        <v>3</v>
      </c>
      <c r="E1247" t="s">
        <v>31</v>
      </c>
      <c r="F1247" t="s">
        <v>123</v>
      </c>
      <c r="G1247" t="s">
        <v>27</v>
      </c>
      <c r="I1247">
        <v>2</v>
      </c>
      <c r="J1247" t="s">
        <v>110</v>
      </c>
      <c r="K1247" s="1">
        <v>45558</v>
      </c>
      <c r="L1247">
        <v>25</v>
      </c>
      <c r="M1247">
        <v>3.8</v>
      </c>
    </row>
    <row r="1248" spans="1:13" hidden="1" x14ac:dyDescent="0.25">
      <c r="A1248" t="str">
        <f t="shared" si="19"/>
        <v>2024_Vic_Kalkee_Chickpea_DetailedTOSTOS1VarietyDrummondWaterTrtRainFed</v>
      </c>
      <c r="B1248">
        <v>2024038</v>
      </c>
      <c r="C1248" t="s">
        <v>108</v>
      </c>
      <c r="D1248">
        <v>3</v>
      </c>
      <c r="E1248" t="s">
        <v>31</v>
      </c>
      <c r="F1248" t="s">
        <v>123</v>
      </c>
      <c r="G1248" t="s">
        <v>30</v>
      </c>
      <c r="I1248">
        <v>1</v>
      </c>
      <c r="J1248" t="s">
        <v>109</v>
      </c>
      <c r="K1248" s="1">
        <v>45537</v>
      </c>
      <c r="L1248">
        <v>24.2</v>
      </c>
      <c r="M1248">
        <v>3.8</v>
      </c>
    </row>
    <row r="1249" spans="1:13" hidden="1" x14ac:dyDescent="0.25">
      <c r="A1249" t="str">
        <f t="shared" si="19"/>
        <v>2024_Vic_Kalkee_Chickpea_DetailedTOSTOS2VarietyDrummondWaterTrtRainFed</v>
      </c>
      <c r="B1249">
        <v>2024038</v>
      </c>
      <c r="C1249" t="s">
        <v>108</v>
      </c>
      <c r="D1249">
        <v>3</v>
      </c>
      <c r="E1249" t="s">
        <v>31</v>
      </c>
      <c r="F1249" t="s">
        <v>123</v>
      </c>
      <c r="G1249" t="s">
        <v>30</v>
      </c>
      <c r="I1249">
        <v>2</v>
      </c>
      <c r="J1249" t="s">
        <v>110</v>
      </c>
      <c r="K1249" s="1">
        <v>45558</v>
      </c>
      <c r="L1249">
        <v>38.200000000000003</v>
      </c>
      <c r="M1249">
        <v>3.8</v>
      </c>
    </row>
    <row r="1250" spans="1:13" hidden="1" x14ac:dyDescent="0.25">
      <c r="A1250" t="str">
        <f t="shared" si="19"/>
        <v>2024_Vic_Kalkee_Chickpea_DetailedTOSTOS1VarietyHatTrickWaterTrtIrrigated</v>
      </c>
      <c r="B1250">
        <v>2024038</v>
      </c>
      <c r="C1250" t="s">
        <v>108</v>
      </c>
      <c r="D1250">
        <v>3</v>
      </c>
      <c r="E1250" t="s">
        <v>31</v>
      </c>
      <c r="F1250" t="s">
        <v>124</v>
      </c>
      <c r="G1250" t="s">
        <v>27</v>
      </c>
      <c r="I1250">
        <v>1</v>
      </c>
      <c r="J1250" t="s">
        <v>109</v>
      </c>
      <c r="K1250" s="1">
        <v>45537</v>
      </c>
      <c r="L1250">
        <v>17.7</v>
      </c>
      <c r="M1250">
        <v>3.8</v>
      </c>
    </row>
    <row r="1251" spans="1:13" hidden="1" x14ac:dyDescent="0.25">
      <c r="A1251" t="str">
        <f t="shared" si="19"/>
        <v>2024_Vic_Kalkee_Chickpea_DetailedTOSTOS2VarietyHatTrickWaterTrtIrrigated</v>
      </c>
      <c r="B1251">
        <v>2024038</v>
      </c>
      <c r="C1251" t="s">
        <v>108</v>
      </c>
      <c r="D1251">
        <v>3</v>
      </c>
      <c r="E1251" t="s">
        <v>31</v>
      </c>
      <c r="F1251" t="s">
        <v>124</v>
      </c>
      <c r="G1251" t="s">
        <v>27</v>
      </c>
      <c r="I1251">
        <v>2</v>
      </c>
      <c r="J1251" t="s">
        <v>110</v>
      </c>
      <c r="K1251" s="1">
        <v>45558</v>
      </c>
      <c r="L1251">
        <v>16.5</v>
      </c>
      <c r="M1251">
        <v>3.8</v>
      </c>
    </row>
    <row r="1252" spans="1:13" hidden="1" x14ac:dyDescent="0.25">
      <c r="A1252" t="str">
        <f t="shared" si="19"/>
        <v>2024_Vic_Kalkee_Chickpea_DetailedTOSTOS1VarietyHatTrickWaterTrtRainFed</v>
      </c>
      <c r="B1252">
        <v>2024038</v>
      </c>
      <c r="C1252" t="s">
        <v>108</v>
      </c>
      <c r="D1252">
        <v>3</v>
      </c>
      <c r="E1252" t="s">
        <v>31</v>
      </c>
      <c r="F1252" t="s">
        <v>124</v>
      </c>
      <c r="G1252" t="s">
        <v>30</v>
      </c>
      <c r="I1252">
        <v>1</v>
      </c>
      <c r="J1252" t="s">
        <v>109</v>
      </c>
      <c r="K1252" s="1">
        <v>45537</v>
      </c>
      <c r="L1252">
        <v>16.600000000000001</v>
      </c>
      <c r="M1252">
        <v>3.8</v>
      </c>
    </row>
    <row r="1253" spans="1:13" hidden="1" x14ac:dyDescent="0.25">
      <c r="A1253" t="str">
        <f t="shared" si="19"/>
        <v>2024_Vic_Kalkee_Chickpea_DetailedTOSTOS2VarietyHatTrickWaterTrtRainFed</v>
      </c>
      <c r="B1253">
        <v>2024038</v>
      </c>
      <c r="C1253" t="s">
        <v>108</v>
      </c>
      <c r="D1253">
        <v>3</v>
      </c>
      <c r="E1253" t="s">
        <v>31</v>
      </c>
      <c r="F1253" t="s">
        <v>124</v>
      </c>
      <c r="G1253" t="s">
        <v>30</v>
      </c>
      <c r="I1253">
        <v>2</v>
      </c>
      <c r="J1253" t="s">
        <v>110</v>
      </c>
      <c r="K1253" s="1">
        <v>45558</v>
      </c>
      <c r="L1253">
        <v>22.7</v>
      </c>
      <c r="M1253">
        <v>3.8</v>
      </c>
    </row>
    <row r="1254" spans="1:13" hidden="1" x14ac:dyDescent="0.25">
      <c r="A1254" t="str">
        <f t="shared" si="19"/>
        <v>2024_Vic_Kalkee_Chickpea_DetailedTOSTOS1VarietyStrikerWaterTrtIrrigated</v>
      </c>
      <c r="B1254">
        <v>2024038</v>
      </c>
      <c r="C1254" t="s">
        <v>108</v>
      </c>
      <c r="D1254">
        <v>3</v>
      </c>
      <c r="E1254" t="s">
        <v>31</v>
      </c>
      <c r="F1254" t="s">
        <v>125</v>
      </c>
      <c r="G1254" t="s">
        <v>27</v>
      </c>
      <c r="I1254">
        <v>1</v>
      </c>
      <c r="J1254" t="s">
        <v>109</v>
      </c>
      <c r="K1254" s="1">
        <v>45537</v>
      </c>
      <c r="L1254">
        <v>35</v>
      </c>
      <c r="M1254">
        <v>3.8</v>
      </c>
    </row>
    <row r="1255" spans="1:13" hidden="1" x14ac:dyDescent="0.25">
      <c r="A1255" t="str">
        <f t="shared" si="19"/>
        <v>2024_Vic_Kalkee_Chickpea_DetailedTOSTOS2VarietyStrikerWaterTrtIrrigated</v>
      </c>
      <c r="B1255">
        <v>2024038</v>
      </c>
      <c r="C1255" t="s">
        <v>108</v>
      </c>
      <c r="D1255">
        <v>3</v>
      </c>
      <c r="E1255" t="s">
        <v>31</v>
      </c>
      <c r="F1255" t="s">
        <v>125</v>
      </c>
      <c r="G1255" t="s">
        <v>27</v>
      </c>
      <c r="I1255">
        <v>2</v>
      </c>
      <c r="J1255" t="s">
        <v>110</v>
      </c>
      <c r="K1255" s="1">
        <v>45558</v>
      </c>
      <c r="L1255">
        <v>35.799999999999997</v>
      </c>
      <c r="M1255">
        <v>4.2</v>
      </c>
    </row>
    <row r="1256" spans="1:13" hidden="1" x14ac:dyDescent="0.25">
      <c r="A1256" t="str">
        <f t="shared" si="19"/>
        <v>2024_Vic_Kalkee_Chickpea_DetailedTOSTOS1VarietyStrikerWaterTrtRainFed</v>
      </c>
      <c r="B1256">
        <v>2024038</v>
      </c>
      <c r="C1256" t="s">
        <v>108</v>
      </c>
      <c r="D1256">
        <v>3</v>
      </c>
      <c r="E1256" t="s">
        <v>31</v>
      </c>
      <c r="F1256" t="s">
        <v>125</v>
      </c>
      <c r="G1256" t="s">
        <v>30</v>
      </c>
      <c r="I1256">
        <v>1</v>
      </c>
      <c r="J1256" t="s">
        <v>109</v>
      </c>
      <c r="K1256" s="1">
        <v>45537</v>
      </c>
      <c r="L1256">
        <v>24.2</v>
      </c>
      <c r="M1256">
        <v>4.2</v>
      </c>
    </row>
    <row r="1257" spans="1:13" hidden="1" x14ac:dyDescent="0.25">
      <c r="A1257" t="str">
        <f t="shared" si="19"/>
        <v>2024_Vic_Kalkee_Chickpea_DetailedTOSTOS2VarietyStrikerWaterTrtRainFed</v>
      </c>
      <c r="B1257">
        <v>2024038</v>
      </c>
      <c r="C1257" t="s">
        <v>108</v>
      </c>
      <c r="D1257">
        <v>3</v>
      </c>
      <c r="E1257" t="s">
        <v>31</v>
      </c>
      <c r="F1257" t="s">
        <v>125</v>
      </c>
      <c r="G1257" t="s">
        <v>30</v>
      </c>
      <c r="I1257">
        <v>2</v>
      </c>
      <c r="J1257" t="s">
        <v>110</v>
      </c>
      <c r="K1257" s="1">
        <v>45558</v>
      </c>
      <c r="L1257">
        <v>40.9</v>
      </c>
      <c r="M1257">
        <v>3.8</v>
      </c>
    </row>
    <row r="1258" spans="1:13" hidden="1" x14ac:dyDescent="0.25">
      <c r="A1258" t="str">
        <f t="shared" si="19"/>
        <v>2024_Vic_Kalkee_Chickpea_DetailedTOSTOS1VarietyCBA_CaptainWaterTrtIrrigated</v>
      </c>
      <c r="B1258">
        <v>2024038</v>
      </c>
      <c r="C1258" t="s">
        <v>108</v>
      </c>
      <c r="D1258">
        <v>4</v>
      </c>
      <c r="E1258" t="s">
        <v>32</v>
      </c>
      <c r="F1258" t="s">
        <v>26</v>
      </c>
      <c r="G1258" t="s">
        <v>27</v>
      </c>
      <c r="I1258">
        <v>1</v>
      </c>
      <c r="J1258" t="s">
        <v>109</v>
      </c>
      <c r="K1258" s="1">
        <v>45586</v>
      </c>
      <c r="L1258">
        <v>356.4</v>
      </c>
      <c r="M1258">
        <v>25</v>
      </c>
    </row>
    <row r="1259" spans="1:13" hidden="1" x14ac:dyDescent="0.25">
      <c r="A1259" t="str">
        <f t="shared" si="19"/>
        <v>2024_Vic_Kalkee_Chickpea_DetailedTOSTOS2VarietyCBA_CaptainWaterTrtIrrigated</v>
      </c>
      <c r="B1259">
        <v>2024038</v>
      </c>
      <c r="C1259" t="s">
        <v>108</v>
      </c>
      <c r="D1259">
        <v>4</v>
      </c>
      <c r="E1259" t="s">
        <v>32</v>
      </c>
      <c r="F1259" t="s">
        <v>26</v>
      </c>
      <c r="G1259" t="s">
        <v>27</v>
      </c>
      <c r="I1259">
        <v>2</v>
      </c>
      <c r="J1259" t="s">
        <v>110</v>
      </c>
      <c r="K1259" s="1">
        <v>45588</v>
      </c>
      <c r="L1259">
        <v>210</v>
      </c>
      <c r="M1259">
        <v>25</v>
      </c>
    </row>
    <row r="1260" spans="1:13" hidden="1" x14ac:dyDescent="0.25">
      <c r="A1260" t="str">
        <f t="shared" si="19"/>
        <v>2024_Vic_Kalkee_Chickpea_DetailedTOSTOS1VarietyCBA_CaptainWaterTrtRainFed</v>
      </c>
      <c r="B1260">
        <v>2024038</v>
      </c>
      <c r="C1260" t="s">
        <v>108</v>
      </c>
      <c r="D1260">
        <v>4</v>
      </c>
      <c r="E1260" t="s">
        <v>32</v>
      </c>
      <c r="F1260" t="s">
        <v>26</v>
      </c>
      <c r="G1260" t="s">
        <v>30</v>
      </c>
      <c r="I1260">
        <v>1</v>
      </c>
      <c r="J1260" t="s">
        <v>109</v>
      </c>
      <c r="K1260" s="1">
        <v>45579</v>
      </c>
      <c r="L1260">
        <v>201.3</v>
      </c>
      <c r="M1260">
        <v>25</v>
      </c>
    </row>
    <row r="1261" spans="1:13" hidden="1" x14ac:dyDescent="0.25">
      <c r="A1261" t="str">
        <f t="shared" si="19"/>
        <v>2024_Vic_Kalkee_Chickpea_DetailedTOSTOS2VarietyCBA_CaptainWaterTrtRainFed</v>
      </c>
      <c r="B1261">
        <v>2024038</v>
      </c>
      <c r="C1261" t="s">
        <v>108</v>
      </c>
      <c r="D1261">
        <v>4</v>
      </c>
      <c r="E1261" t="s">
        <v>32</v>
      </c>
      <c r="F1261" t="s">
        <v>26</v>
      </c>
      <c r="G1261" t="s">
        <v>30</v>
      </c>
      <c r="I1261">
        <v>2</v>
      </c>
      <c r="J1261" t="s">
        <v>110</v>
      </c>
      <c r="K1261" s="1">
        <v>45588</v>
      </c>
      <c r="L1261">
        <v>182.1</v>
      </c>
      <c r="M1261">
        <v>25</v>
      </c>
    </row>
    <row r="1262" spans="1:13" hidden="1" x14ac:dyDescent="0.25">
      <c r="A1262" t="str">
        <f t="shared" si="19"/>
        <v>2024_Vic_Kalkee_Chickpea_DetailedTOSTOS1VarietyDrummondWaterTrtIrrigated</v>
      </c>
      <c r="B1262">
        <v>2024038</v>
      </c>
      <c r="C1262" t="s">
        <v>108</v>
      </c>
      <c r="D1262">
        <v>4</v>
      </c>
      <c r="E1262" t="s">
        <v>32</v>
      </c>
      <c r="F1262" t="s">
        <v>123</v>
      </c>
      <c r="G1262" t="s">
        <v>27</v>
      </c>
      <c r="I1262">
        <v>1</v>
      </c>
      <c r="J1262" t="s">
        <v>109</v>
      </c>
      <c r="K1262" s="1">
        <v>45586</v>
      </c>
      <c r="L1262">
        <v>337.1</v>
      </c>
      <c r="M1262">
        <v>25</v>
      </c>
    </row>
    <row r="1263" spans="1:13" hidden="1" x14ac:dyDescent="0.25">
      <c r="A1263" t="str">
        <f t="shared" si="19"/>
        <v>2024_Vic_Kalkee_Chickpea_DetailedTOSTOS2VarietyDrummondWaterTrtIrrigated</v>
      </c>
      <c r="B1263">
        <v>2024038</v>
      </c>
      <c r="C1263" t="s">
        <v>108</v>
      </c>
      <c r="D1263">
        <v>4</v>
      </c>
      <c r="E1263" t="s">
        <v>32</v>
      </c>
      <c r="F1263" t="s">
        <v>123</v>
      </c>
      <c r="G1263" t="s">
        <v>27</v>
      </c>
      <c r="I1263">
        <v>2</v>
      </c>
      <c r="J1263" t="s">
        <v>110</v>
      </c>
      <c r="K1263" s="1">
        <v>45588</v>
      </c>
      <c r="L1263">
        <v>219.5</v>
      </c>
      <c r="M1263">
        <v>25</v>
      </c>
    </row>
    <row r="1264" spans="1:13" hidden="1" x14ac:dyDescent="0.25">
      <c r="A1264" t="str">
        <f t="shared" si="19"/>
        <v>2024_Vic_Kalkee_Chickpea_DetailedTOSTOS1VarietyDrummondWaterTrtRainFed</v>
      </c>
      <c r="B1264">
        <v>2024038</v>
      </c>
      <c r="C1264" t="s">
        <v>108</v>
      </c>
      <c r="D1264">
        <v>4</v>
      </c>
      <c r="E1264" t="s">
        <v>32</v>
      </c>
      <c r="F1264" t="s">
        <v>123</v>
      </c>
      <c r="G1264" t="s">
        <v>30</v>
      </c>
      <c r="I1264">
        <v>1</v>
      </c>
      <c r="J1264" t="s">
        <v>109</v>
      </c>
      <c r="K1264" s="1">
        <v>45579</v>
      </c>
      <c r="L1264">
        <v>203.5</v>
      </c>
      <c r="M1264">
        <v>25</v>
      </c>
    </row>
    <row r="1265" spans="1:13" hidden="1" x14ac:dyDescent="0.25">
      <c r="A1265" t="str">
        <f t="shared" si="19"/>
        <v>2024_Vic_Kalkee_Chickpea_DetailedTOSTOS2VarietyDrummondWaterTrtRainFed</v>
      </c>
      <c r="B1265">
        <v>2024038</v>
      </c>
      <c r="C1265" t="s">
        <v>108</v>
      </c>
      <c r="D1265">
        <v>4</v>
      </c>
      <c r="E1265" t="s">
        <v>32</v>
      </c>
      <c r="F1265" t="s">
        <v>123</v>
      </c>
      <c r="G1265" t="s">
        <v>30</v>
      </c>
      <c r="I1265">
        <v>2</v>
      </c>
      <c r="J1265" t="s">
        <v>110</v>
      </c>
      <c r="K1265" s="1">
        <v>45588</v>
      </c>
      <c r="L1265">
        <v>167.7</v>
      </c>
      <c r="M1265">
        <v>25</v>
      </c>
    </row>
    <row r="1266" spans="1:13" hidden="1" x14ac:dyDescent="0.25">
      <c r="A1266" t="str">
        <f t="shared" si="19"/>
        <v>2024_Vic_Kalkee_Chickpea_DetailedTOSTOS1VarietyHatTrickWaterTrtIrrigated</v>
      </c>
      <c r="B1266">
        <v>2024038</v>
      </c>
      <c r="C1266" t="s">
        <v>108</v>
      </c>
      <c r="D1266">
        <v>4</v>
      </c>
      <c r="E1266" t="s">
        <v>32</v>
      </c>
      <c r="F1266" t="s">
        <v>124</v>
      </c>
      <c r="G1266" t="s">
        <v>27</v>
      </c>
      <c r="I1266">
        <v>1</v>
      </c>
      <c r="J1266" t="s">
        <v>109</v>
      </c>
      <c r="K1266" s="1">
        <v>45586</v>
      </c>
      <c r="L1266">
        <v>223.9</v>
      </c>
      <c r="M1266">
        <v>25</v>
      </c>
    </row>
    <row r="1267" spans="1:13" hidden="1" x14ac:dyDescent="0.25">
      <c r="A1267" t="str">
        <f t="shared" si="19"/>
        <v>2024_Vic_Kalkee_Chickpea_DetailedTOSTOS2VarietyHatTrickWaterTrtIrrigated</v>
      </c>
      <c r="B1267">
        <v>2024038</v>
      </c>
      <c r="C1267" t="s">
        <v>108</v>
      </c>
      <c r="D1267">
        <v>4</v>
      </c>
      <c r="E1267" t="s">
        <v>32</v>
      </c>
      <c r="F1267" t="s">
        <v>124</v>
      </c>
      <c r="G1267" t="s">
        <v>27</v>
      </c>
      <c r="I1267">
        <v>2</v>
      </c>
      <c r="J1267" t="s">
        <v>110</v>
      </c>
      <c r="K1267" s="1">
        <v>45588</v>
      </c>
      <c r="L1267">
        <v>181.1</v>
      </c>
      <c r="M1267">
        <v>25</v>
      </c>
    </row>
    <row r="1268" spans="1:13" hidden="1" x14ac:dyDescent="0.25">
      <c r="A1268" t="str">
        <f t="shared" si="19"/>
        <v>2024_Vic_Kalkee_Chickpea_DetailedTOSTOS1VarietyHatTrickWaterTrtRainFed</v>
      </c>
      <c r="B1268">
        <v>2024038</v>
      </c>
      <c r="C1268" t="s">
        <v>108</v>
      </c>
      <c r="D1268">
        <v>4</v>
      </c>
      <c r="E1268" t="s">
        <v>32</v>
      </c>
      <c r="F1268" t="s">
        <v>124</v>
      </c>
      <c r="G1268" t="s">
        <v>30</v>
      </c>
      <c r="I1268">
        <v>1</v>
      </c>
      <c r="J1268" t="s">
        <v>109</v>
      </c>
      <c r="K1268" s="1">
        <v>45586</v>
      </c>
      <c r="L1268">
        <v>257.39999999999998</v>
      </c>
      <c r="M1268">
        <v>25</v>
      </c>
    </row>
    <row r="1269" spans="1:13" hidden="1" x14ac:dyDescent="0.25">
      <c r="A1269" t="str">
        <f t="shared" si="19"/>
        <v>2024_Vic_Kalkee_Chickpea_DetailedTOSTOS2VarietyHatTrickWaterTrtRainFed</v>
      </c>
      <c r="B1269">
        <v>2024038</v>
      </c>
      <c r="C1269" t="s">
        <v>108</v>
      </c>
      <c r="D1269">
        <v>4</v>
      </c>
      <c r="E1269" t="s">
        <v>32</v>
      </c>
      <c r="F1269" t="s">
        <v>124</v>
      </c>
      <c r="G1269" t="s">
        <v>30</v>
      </c>
      <c r="I1269">
        <v>2</v>
      </c>
      <c r="J1269" t="s">
        <v>110</v>
      </c>
      <c r="K1269" s="1">
        <v>45588</v>
      </c>
      <c r="L1269">
        <v>179.1</v>
      </c>
      <c r="M1269">
        <v>25</v>
      </c>
    </row>
    <row r="1270" spans="1:13" hidden="1" x14ac:dyDescent="0.25">
      <c r="A1270" t="str">
        <f t="shared" si="19"/>
        <v>2024_Vic_Kalkee_Chickpea_DetailedTOSTOS1VarietyStrikerWaterTrtIrrigated</v>
      </c>
      <c r="B1270">
        <v>2024038</v>
      </c>
      <c r="C1270" t="s">
        <v>108</v>
      </c>
      <c r="D1270">
        <v>4</v>
      </c>
      <c r="E1270" t="s">
        <v>32</v>
      </c>
      <c r="F1270" t="s">
        <v>125</v>
      </c>
      <c r="G1270" t="s">
        <v>27</v>
      </c>
      <c r="I1270">
        <v>1</v>
      </c>
      <c r="J1270" t="s">
        <v>109</v>
      </c>
      <c r="K1270" s="1">
        <v>45579</v>
      </c>
      <c r="L1270">
        <v>330.2</v>
      </c>
      <c r="M1270">
        <v>25</v>
      </c>
    </row>
    <row r="1271" spans="1:13" hidden="1" x14ac:dyDescent="0.25">
      <c r="A1271" t="str">
        <f t="shared" si="19"/>
        <v>2024_Vic_Kalkee_Chickpea_DetailedTOSTOS2VarietyStrikerWaterTrtIrrigated</v>
      </c>
      <c r="B1271">
        <v>2024038</v>
      </c>
      <c r="C1271" t="s">
        <v>108</v>
      </c>
      <c r="D1271">
        <v>4</v>
      </c>
      <c r="E1271" t="s">
        <v>32</v>
      </c>
      <c r="F1271" t="s">
        <v>125</v>
      </c>
      <c r="G1271" t="s">
        <v>27</v>
      </c>
      <c r="I1271">
        <v>2</v>
      </c>
      <c r="J1271" t="s">
        <v>110</v>
      </c>
      <c r="K1271" s="1">
        <v>45588</v>
      </c>
      <c r="L1271">
        <v>241.7</v>
      </c>
      <c r="M1271">
        <v>25</v>
      </c>
    </row>
    <row r="1272" spans="1:13" hidden="1" x14ac:dyDescent="0.25">
      <c r="A1272" t="str">
        <f t="shared" si="19"/>
        <v>2024_Vic_Kalkee_Chickpea_DetailedTOSTOS1VarietyStrikerWaterTrtRainFed</v>
      </c>
      <c r="B1272">
        <v>2024038</v>
      </c>
      <c r="C1272" t="s">
        <v>108</v>
      </c>
      <c r="D1272">
        <v>4</v>
      </c>
      <c r="E1272" t="s">
        <v>32</v>
      </c>
      <c r="F1272" t="s">
        <v>125</v>
      </c>
      <c r="G1272" t="s">
        <v>30</v>
      </c>
      <c r="I1272">
        <v>1</v>
      </c>
      <c r="J1272" t="s">
        <v>109</v>
      </c>
      <c r="K1272" s="1">
        <v>45579</v>
      </c>
      <c r="L1272">
        <v>206.1</v>
      </c>
      <c r="M1272">
        <v>25</v>
      </c>
    </row>
    <row r="1273" spans="1:13" hidden="1" x14ac:dyDescent="0.25">
      <c r="A1273" t="str">
        <f t="shared" si="19"/>
        <v>2024_Vic_Kalkee_Chickpea_DetailedTOSTOS2VarietyStrikerWaterTrtRainFed</v>
      </c>
      <c r="B1273">
        <v>2024038</v>
      </c>
      <c r="C1273" t="s">
        <v>108</v>
      </c>
      <c r="D1273">
        <v>4</v>
      </c>
      <c r="E1273" t="s">
        <v>32</v>
      </c>
      <c r="F1273" t="s">
        <v>125</v>
      </c>
      <c r="G1273" t="s">
        <v>30</v>
      </c>
      <c r="I1273">
        <v>2</v>
      </c>
      <c r="J1273" t="s">
        <v>110</v>
      </c>
      <c r="K1273" s="1">
        <v>45588</v>
      </c>
      <c r="L1273">
        <v>162.4</v>
      </c>
      <c r="M1273">
        <v>25</v>
      </c>
    </row>
    <row r="1274" spans="1:13" hidden="1" x14ac:dyDescent="0.25">
      <c r="A1274" t="str">
        <f t="shared" si="19"/>
        <v>2024_Vic_Kalkee_Chickpea_DetailedTOSTOS1VarietyCBA_CaptainWaterTrtIrrigated</v>
      </c>
      <c r="B1274">
        <v>2024038</v>
      </c>
      <c r="C1274" t="s">
        <v>108</v>
      </c>
      <c r="D1274">
        <v>5</v>
      </c>
      <c r="E1274" t="s">
        <v>33</v>
      </c>
      <c r="F1274" t="s">
        <v>26</v>
      </c>
      <c r="G1274" t="s">
        <v>27</v>
      </c>
      <c r="I1274">
        <v>1</v>
      </c>
      <c r="J1274" t="s">
        <v>109</v>
      </c>
      <c r="K1274" s="1">
        <v>45603</v>
      </c>
      <c r="L1274">
        <v>508.2</v>
      </c>
      <c r="M1274">
        <v>40</v>
      </c>
    </row>
    <row r="1275" spans="1:13" hidden="1" x14ac:dyDescent="0.25">
      <c r="A1275" t="str">
        <f t="shared" si="19"/>
        <v>2024_Vic_Kalkee_Chickpea_DetailedTOSTOS2VarietyCBA_CaptainWaterTrtIrrigated</v>
      </c>
      <c r="B1275">
        <v>2024038</v>
      </c>
      <c r="C1275" t="s">
        <v>108</v>
      </c>
      <c r="D1275">
        <v>5</v>
      </c>
      <c r="E1275" t="s">
        <v>33</v>
      </c>
      <c r="F1275" t="s">
        <v>26</v>
      </c>
      <c r="G1275" t="s">
        <v>27</v>
      </c>
      <c r="I1275">
        <v>2</v>
      </c>
      <c r="J1275" t="s">
        <v>110</v>
      </c>
      <c r="K1275" s="1">
        <v>45610</v>
      </c>
      <c r="L1275">
        <v>480.1</v>
      </c>
      <c r="M1275">
        <v>40</v>
      </c>
    </row>
    <row r="1276" spans="1:13" hidden="1" x14ac:dyDescent="0.25">
      <c r="A1276" t="str">
        <f t="shared" si="19"/>
        <v>2024_Vic_Kalkee_Chickpea_DetailedTOSTOS1VarietyCBA_CaptainWaterTrtRainFed</v>
      </c>
      <c r="B1276">
        <v>2024038</v>
      </c>
      <c r="C1276" t="s">
        <v>108</v>
      </c>
      <c r="D1276">
        <v>5</v>
      </c>
      <c r="E1276" t="s">
        <v>33</v>
      </c>
      <c r="F1276" t="s">
        <v>26</v>
      </c>
      <c r="G1276" t="s">
        <v>30</v>
      </c>
      <c r="I1276">
        <v>1</v>
      </c>
      <c r="J1276" t="s">
        <v>109</v>
      </c>
      <c r="K1276" s="1">
        <v>45603</v>
      </c>
      <c r="L1276">
        <v>384.4</v>
      </c>
      <c r="M1276">
        <v>40</v>
      </c>
    </row>
    <row r="1277" spans="1:13" hidden="1" x14ac:dyDescent="0.25">
      <c r="A1277" t="str">
        <f t="shared" si="19"/>
        <v>2024_Vic_Kalkee_Chickpea_DetailedTOSTOS2VarietyCBA_CaptainWaterTrtRainFed</v>
      </c>
      <c r="B1277">
        <v>2024038</v>
      </c>
      <c r="C1277" t="s">
        <v>108</v>
      </c>
      <c r="D1277">
        <v>5</v>
      </c>
      <c r="E1277" t="s">
        <v>33</v>
      </c>
      <c r="F1277" t="s">
        <v>26</v>
      </c>
      <c r="G1277" t="s">
        <v>30</v>
      </c>
      <c r="I1277">
        <v>2</v>
      </c>
      <c r="J1277" t="s">
        <v>110</v>
      </c>
      <c r="K1277" s="1">
        <v>45603</v>
      </c>
      <c r="L1277">
        <v>294.39999999999998</v>
      </c>
      <c r="M1277">
        <v>40</v>
      </c>
    </row>
    <row r="1278" spans="1:13" hidden="1" x14ac:dyDescent="0.25">
      <c r="A1278" t="str">
        <f t="shared" si="19"/>
        <v>2024_Vic_Kalkee_Chickpea_DetailedTOSTOS1VarietyDrummondWaterTrtIrrigated</v>
      </c>
      <c r="B1278">
        <v>2024038</v>
      </c>
      <c r="C1278" t="s">
        <v>108</v>
      </c>
      <c r="D1278">
        <v>5</v>
      </c>
      <c r="E1278" t="s">
        <v>33</v>
      </c>
      <c r="F1278" t="s">
        <v>123</v>
      </c>
      <c r="G1278" t="s">
        <v>27</v>
      </c>
      <c r="I1278">
        <v>1</v>
      </c>
      <c r="J1278" t="s">
        <v>109</v>
      </c>
      <c r="K1278" s="1">
        <v>45603</v>
      </c>
      <c r="L1278">
        <v>496.7</v>
      </c>
      <c r="M1278">
        <v>40</v>
      </c>
    </row>
    <row r="1279" spans="1:13" hidden="1" x14ac:dyDescent="0.25">
      <c r="A1279" t="str">
        <f t="shared" si="19"/>
        <v>2024_Vic_Kalkee_Chickpea_DetailedTOSTOS2VarietyDrummondWaterTrtIrrigated</v>
      </c>
      <c r="B1279">
        <v>2024038</v>
      </c>
      <c r="C1279" t="s">
        <v>108</v>
      </c>
      <c r="D1279">
        <v>5</v>
      </c>
      <c r="E1279" t="s">
        <v>33</v>
      </c>
      <c r="F1279" t="s">
        <v>123</v>
      </c>
      <c r="G1279" t="s">
        <v>27</v>
      </c>
      <c r="I1279">
        <v>2</v>
      </c>
      <c r="J1279" t="s">
        <v>110</v>
      </c>
      <c r="K1279" s="1">
        <v>45610</v>
      </c>
      <c r="L1279">
        <v>433.9</v>
      </c>
      <c r="M1279">
        <v>40</v>
      </c>
    </row>
    <row r="1280" spans="1:13" hidden="1" x14ac:dyDescent="0.25">
      <c r="A1280" t="str">
        <f t="shared" si="19"/>
        <v>2024_Vic_Kalkee_Chickpea_DetailedTOSTOS1VarietyDrummondWaterTrtRainFed</v>
      </c>
      <c r="B1280">
        <v>2024038</v>
      </c>
      <c r="C1280" t="s">
        <v>108</v>
      </c>
      <c r="D1280">
        <v>5</v>
      </c>
      <c r="E1280" t="s">
        <v>33</v>
      </c>
      <c r="F1280" t="s">
        <v>123</v>
      </c>
      <c r="G1280" t="s">
        <v>30</v>
      </c>
      <c r="I1280">
        <v>1</v>
      </c>
      <c r="J1280" t="s">
        <v>109</v>
      </c>
      <c r="K1280" s="1">
        <v>45603</v>
      </c>
      <c r="L1280">
        <v>317</v>
      </c>
      <c r="M1280">
        <v>40</v>
      </c>
    </row>
    <row r="1281" spans="1:25" hidden="1" x14ac:dyDescent="0.25">
      <c r="A1281" t="str">
        <f t="shared" si="19"/>
        <v>2024_Vic_Kalkee_Chickpea_DetailedTOSTOS2VarietyDrummondWaterTrtRainFed</v>
      </c>
      <c r="B1281">
        <v>2024038</v>
      </c>
      <c r="C1281" t="s">
        <v>108</v>
      </c>
      <c r="D1281">
        <v>5</v>
      </c>
      <c r="E1281" t="s">
        <v>33</v>
      </c>
      <c r="F1281" t="s">
        <v>123</v>
      </c>
      <c r="G1281" t="s">
        <v>30</v>
      </c>
      <c r="I1281">
        <v>2</v>
      </c>
      <c r="J1281" t="s">
        <v>110</v>
      </c>
      <c r="K1281" s="1">
        <v>45610</v>
      </c>
      <c r="L1281">
        <v>382.8</v>
      </c>
      <c r="M1281">
        <v>40</v>
      </c>
    </row>
    <row r="1282" spans="1:25" hidden="1" x14ac:dyDescent="0.25">
      <c r="A1282" t="str">
        <f t="shared" si="19"/>
        <v>2024_Vic_Kalkee_Chickpea_DetailedTOSTOS1VarietyHatTrickWaterTrtIrrigated</v>
      </c>
      <c r="B1282">
        <v>2024038</v>
      </c>
      <c r="C1282" t="s">
        <v>108</v>
      </c>
      <c r="D1282">
        <v>5</v>
      </c>
      <c r="E1282" t="s">
        <v>33</v>
      </c>
      <c r="F1282" t="s">
        <v>124</v>
      </c>
      <c r="G1282" t="s">
        <v>27</v>
      </c>
      <c r="I1282">
        <v>1</v>
      </c>
      <c r="J1282" t="s">
        <v>109</v>
      </c>
      <c r="K1282" s="1">
        <v>45610</v>
      </c>
      <c r="L1282">
        <v>590.79999999999995</v>
      </c>
      <c r="M1282">
        <v>40</v>
      </c>
    </row>
    <row r="1283" spans="1:25" hidden="1" x14ac:dyDescent="0.25">
      <c r="A1283" t="str">
        <f t="shared" ref="A1283:A1346" si="20">C1283&amp;"TOSTOS"&amp;I1283&amp;"Variety"&amp;F1283&amp;"WaterTrt"&amp;G1283&amp;IF(H1283="","","Agronomy"&amp;H1283)</f>
        <v>2024_Vic_Kalkee_Chickpea_DetailedTOSTOS2VarietyHatTrickWaterTrtIrrigated</v>
      </c>
      <c r="B1283">
        <v>2024038</v>
      </c>
      <c r="C1283" t="s">
        <v>108</v>
      </c>
      <c r="D1283">
        <v>5</v>
      </c>
      <c r="E1283" t="s">
        <v>33</v>
      </c>
      <c r="F1283" t="s">
        <v>124</v>
      </c>
      <c r="G1283" t="s">
        <v>27</v>
      </c>
      <c r="I1283">
        <v>2</v>
      </c>
      <c r="J1283" t="s">
        <v>110</v>
      </c>
      <c r="K1283" s="1">
        <v>45610</v>
      </c>
      <c r="L1283">
        <v>451.5</v>
      </c>
      <c r="M1283">
        <v>40</v>
      </c>
    </row>
    <row r="1284" spans="1:25" hidden="1" x14ac:dyDescent="0.25">
      <c r="A1284" t="str">
        <f t="shared" si="20"/>
        <v>2024_Vic_Kalkee_Chickpea_DetailedTOSTOS1VarietyHatTrickWaterTrtRainFed</v>
      </c>
      <c r="B1284">
        <v>2024038</v>
      </c>
      <c r="C1284" t="s">
        <v>108</v>
      </c>
      <c r="D1284">
        <v>5</v>
      </c>
      <c r="E1284" t="s">
        <v>33</v>
      </c>
      <c r="F1284" t="s">
        <v>124</v>
      </c>
      <c r="G1284" t="s">
        <v>30</v>
      </c>
      <c r="I1284">
        <v>1</v>
      </c>
      <c r="J1284" t="s">
        <v>109</v>
      </c>
      <c r="K1284" s="1">
        <v>45603</v>
      </c>
      <c r="L1284">
        <v>301.89999999999998</v>
      </c>
      <c r="M1284">
        <v>40</v>
      </c>
    </row>
    <row r="1285" spans="1:25" hidden="1" x14ac:dyDescent="0.25">
      <c r="A1285" t="str">
        <f t="shared" si="20"/>
        <v>2024_Vic_Kalkee_Chickpea_DetailedTOSTOS2VarietyHatTrickWaterTrtRainFed</v>
      </c>
      <c r="B1285">
        <v>2024038</v>
      </c>
      <c r="C1285" t="s">
        <v>108</v>
      </c>
      <c r="D1285">
        <v>5</v>
      </c>
      <c r="E1285" t="s">
        <v>33</v>
      </c>
      <c r="F1285" t="s">
        <v>124</v>
      </c>
      <c r="G1285" t="s">
        <v>30</v>
      </c>
      <c r="I1285">
        <v>2</v>
      </c>
      <c r="J1285" t="s">
        <v>110</v>
      </c>
      <c r="K1285" s="1">
        <v>45610</v>
      </c>
      <c r="L1285">
        <v>341.3</v>
      </c>
      <c r="M1285">
        <v>40</v>
      </c>
    </row>
    <row r="1286" spans="1:25" hidden="1" x14ac:dyDescent="0.25">
      <c r="A1286" t="str">
        <f t="shared" si="20"/>
        <v>2024_Vic_Kalkee_Chickpea_DetailedTOSTOS1VarietyStrikerWaterTrtIrrigated</v>
      </c>
      <c r="B1286">
        <v>2024038</v>
      </c>
      <c r="C1286" t="s">
        <v>108</v>
      </c>
      <c r="D1286">
        <v>5</v>
      </c>
      <c r="E1286" t="s">
        <v>33</v>
      </c>
      <c r="F1286" t="s">
        <v>125</v>
      </c>
      <c r="G1286" t="s">
        <v>27</v>
      </c>
      <c r="I1286">
        <v>1</v>
      </c>
      <c r="J1286" t="s">
        <v>109</v>
      </c>
      <c r="K1286" s="1">
        <v>45603</v>
      </c>
      <c r="L1286">
        <v>548</v>
      </c>
      <c r="M1286">
        <v>40</v>
      </c>
    </row>
    <row r="1287" spans="1:25" hidden="1" x14ac:dyDescent="0.25">
      <c r="A1287" t="str">
        <f t="shared" si="20"/>
        <v>2024_Vic_Kalkee_Chickpea_DetailedTOSTOS2VarietyStrikerWaterTrtIrrigated</v>
      </c>
      <c r="B1287">
        <v>2024038</v>
      </c>
      <c r="C1287" t="s">
        <v>108</v>
      </c>
      <c r="D1287">
        <v>5</v>
      </c>
      <c r="E1287" t="s">
        <v>33</v>
      </c>
      <c r="F1287" t="s">
        <v>125</v>
      </c>
      <c r="G1287" t="s">
        <v>27</v>
      </c>
      <c r="I1287">
        <v>2</v>
      </c>
      <c r="J1287" t="s">
        <v>110</v>
      </c>
      <c r="K1287" s="1">
        <v>45610</v>
      </c>
      <c r="L1287">
        <v>473.6</v>
      </c>
      <c r="M1287">
        <v>40</v>
      </c>
    </row>
    <row r="1288" spans="1:25" hidden="1" x14ac:dyDescent="0.25">
      <c r="A1288" t="str">
        <f t="shared" si="20"/>
        <v>2024_Vic_Kalkee_Chickpea_DetailedTOSTOS1VarietyStrikerWaterTrtRainFed</v>
      </c>
      <c r="B1288">
        <v>2024038</v>
      </c>
      <c r="C1288" t="s">
        <v>108</v>
      </c>
      <c r="D1288">
        <v>5</v>
      </c>
      <c r="E1288" t="s">
        <v>33</v>
      </c>
      <c r="F1288" t="s">
        <v>125</v>
      </c>
      <c r="G1288" t="s">
        <v>30</v>
      </c>
      <c r="I1288">
        <v>1</v>
      </c>
      <c r="J1288" t="s">
        <v>109</v>
      </c>
      <c r="K1288" s="1">
        <v>45603</v>
      </c>
      <c r="L1288">
        <v>303.7</v>
      </c>
      <c r="M1288">
        <v>40</v>
      </c>
    </row>
    <row r="1289" spans="1:25" hidden="1" x14ac:dyDescent="0.25">
      <c r="A1289" t="str">
        <f t="shared" si="20"/>
        <v>2024_Vic_Kalkee_Chickpea_DetailedTOSTOS2VarietyStrikerWaterTrtRainFed</v>
      </c>
      <c r="B1289">
        <v>2024038</v>
      </c>
      <c r="C1289" t="s">
        <v>108</v>
      </c>
      <c r="D1289">
        <v>5</v>
      </c>
      <c r="E1289" t="s">
        <v>33</v>
      </c>
      <c r="F1289" t="s">
        <v>125</v>
      </c>
      <c r="G1289" t="s">
        <v>30</v>
      </c>
      <c r="I1289">
        <v>2</v>
      </c>
      <c r="J1289" t="s">
        <v>110</v>
      </c>
      <c r="K1289" s="1">
        <v>45610</v>
      </c>
      <c r="L1289">
        <v>322.3</v>
      </c>
      <c r="M1289">
        <v>40</v>
      </c>
    </row>
    <row r="1290" spans="1:25" hidden="1" x14ac:dyDescent="0.25">
      <c r="A1290" t="str">
        <f t="shared" si="20"/>
        <v>2024_Vic_Kalkee_Chickpea_DetailedTOSTOS1VarietyCBA_CaptainWaterTrtIrrigated</v>
      </c>
      <c r="B1290">
        <v>2024038</v>
      </c>
      <c r="C1290" t="s">
        <v>108</v>
      </c>
      <c r="D1290">
        <v>6</v>
      </c>
      <c r="E1290" t="s">
        <v>34</v>
      </c>
      <c r="F1290" t="s">
        <v>26</v>
      </c>
      <c r="G1290" t="s">
        <v>27</v>
      </c>
      <c r="I1290">
        <v>1</v>
      </c>
      <c r="J1290" t="s">
        <v>109</v>
      </c>
      <c r="K1290" s="1">
        <v>45629</v>
      </c>
      <c r="L1290">
        <v>456.6</v>
      </c>
      <c r="M1290">
        <v>29</v>
      </c>
      <c r="N1290">
        <v>0.41099999999999998</v>
      </c>
      <c r="O1290">
        <v>1.7999999999999999E-2</v>
      </c>
      <c r="P1290">
        <v>643</v>
      </c>
      <c r="Q1290">
        <v>80</v>
      </c>
      <c r="T1290">
        <v>1002</v>
      </c>
      <c r="U1290">
        <v>75</v>
      </c>
      <c r="X1290">
        <v>188</v>
      </c>
      <c r="Y1290">
        <v>14</v>
      </c>
    </row>
    <row r="1291" spans="1:25" hidden="1" x14ac:dyDescent="0.25">
      <c r="A1291" t="str">
        <f t="shared" si="20"/>
        <v>2024_Vic_Kalkee_Chickpea_DetailedTOSTOS2VarietyCBA_CaptainWaterTrtIrrigated</v>
      </c>
      <c r="B1291">
        <v>2024038</v>
      </c>
      <c r="C1291" t="s">
        <v>108</v>
      </c>
      <c r="D1291">
        <v>6</v>
      </c>
      <c r="E1291" t="s">
        <v>34</v>
      </c>
      <c r="F1291" t="s">
        <v>26</v>
      </c>
      <c r="G1291" t="s">
        <v>27</v>
      </c>
      <c r="I1291">
        <v>2</v>
      </c>
      <c r="J1291" t="s">
        <v>110</v>
      </c>
      <c r="K1291" s="1">
        <v>45629</v>
      </c>
      <c r="L1291">
        <v>471.8</v>
      </c>
      <c r="M1291">
        <v>29</v>
      </c>
      <c r="N1291">
        <v>0.49399999999999999</v>
      </c>
      <c r="O1291">
        <v>9.7000000000000003E-3</v>
      </c>
      <c r="P1291">
        <v>862</v>
      </c>
      <c r="Q1291">
        <v>80</v>
      </c>
      <c r="T1291">
        <v>1260</v>
      </c>
      <c r="U1291">
        <v>75</v>
      </c>
      <c r="X1291">
        <v>232</v>
      </c>
      <c r="Y1291">
        <v>14</v>
      </c>
    </row>
    <row r="1292" spans="1:25" hidden="1" x14ac:dyDescent="0.25">
      <c r="A1292" t="str">
        <f t="shared" si="20"/>
        <v>2024_Vic_Kalkee_Chickpea_DetailedTOSTOS1VarietyCBA_CaptainWaterTrtRainFed</v>
      </c>
      <c r="B1292">
        <v>2024038</v>
      </c>
      <c r="C1292" t="s">
        <v>108</v>
      </c>
      <c r="D1292">
        <v>6</v>
      </c>
      <c r="E1292" t="s">
        <v>34</v>
      </c>
      <c r="F1292" t="s">
        <v>26</v>
      </c>
      <c r="G1292" t="s">
        <v>30</v>
      </c>
      <c r="I1292">
        <v>1</v>
      </c>
      <c r="J1292" t="s">
        <v>109</v>
      </c>
      <c r="K1292" s="1">
        <v>45629</v>
      </c>
      <c r="L1292">
        <v>340</v>
      </c>
      <c r="M1292">
        <v>29</v>
      </c>
      <c r="N1292">
        <v>0.41599999999999998</v>
      </c>
      <c r="O1292">
        <v>1.7999999999999999E-2</v>
      </c>
      <c r="P1292">
        <v>680</v>
      </c>
      <c r="Q1292">
        <v>80</v>
      </c>
      <c r="T1292">
        <v>875</v>
      </c>
      <c r="U1292">
        <v>75</v>
      </c>
      <c r="X1292">
        <v>140</v>
      </c>
      <c r="Y1292">
        <v>14</v>
      </c>
    </row>
    <row r="1293" spans="1:25" hidden="1" x14ac:dyDescent="0.25">
      <c r="A1293" t="str">
        <f t="shared" si="20"/>
        <v>2024_Vic_Kalkee_Chickpea_DetailedTOSTOS2VarietyCBA_CaptainWaterTrtRainFed</v>
      </c>
      <c r="B1293">
        <v>2024038</v>
      </c>
      <c r="C1293" t="s">
        <v>108</v>
      </c>
      <c r="D1293">
        <v>6</v>
      </c>
      <c r="E1293" t="s">
        <v>34</v>
      </c>
      <c r="F1293" t="s">
        <v>26</v>
      </c>
      <c r="G1293" t="s">
        <v>30</v>
      </c>
      <c r="I1293">
        <v>2</v>
      </c>
      <c r="J1293" t="s">
        <v>110</v>
      </c>
      <c r="K1293" s="1">
        <v>45629</v>
      </c>
      <c r="L1293">
        <v>300</v>
      </c>
      <c r="M1293">
        <v>29</v>
      </c>
      <c r="N1293">
        <v>0.50900000000000001</v>
      </c>
      <c r="O1293">
        <v>9.7000000000000003E-3</v>
      </c>
      <c r="P1293">
        <v>625</v>
      </c>
      <c r="Q1293">
        <v>80</v>
      </c>
      <c r="T1293">
        <v>917</v>
      </c>
      <c r="U1293">
        <v>75</v>
      </c>
      <c r="X1293">
        <v>153</v>
      </c>
      <c r="Y1293">
        <v>14</v>
      </c>
    </row>
    <row r="1294" spans="1:25" hidden="1" x14ac:dyDescent="0.25">
      <c r="A1294" t="str">
        <f t="shared" si="20"/>
        <v>2024_Vic_Kalkee_Chickpea_DetailedTOSTOS1VarietyDrummondWaterTrtIrrigated</v>
      </c>
      <c r="B1294">
        <v>2024038</v>
      </c>
      <c r="C1294" t="s">
        <v>108</v>
      </c>
      <c r="D1294">
        <v>6</v>
      </c>
      <c r="E1294" t="s">
        <v>34</v>
      </c>
      <c r="F1294" t="s">
        <v>123</v>
      </c>
      <c r="G1294" t="s">
        <v>27</v>
      </c>
      <c r="I1294">
        <v>1</v>
      </c>
      <c r="J1294" t="s">
        <v>109</v>
      </c>
      <c r="K1294" s="1">
        <v>45629</v>
      </c>
      <c r="L1294">
        <v>545.4</v>
      </c>
      <c r="M1294">
        <v>32</v>
      </c>
      <c r="N1294">
        <v>0.41599999999999998</v>
      </c>
      <c r="O1294">
        <v>2.1000000000000001E-2</v>
      </c>
      <c r="P1294">
        <v>881</v>
      </c>
      <c r="Q1294">
        <v>80</v>
      </c>
      <c r="T1294">
        <v>1184</v>
      </c>
      <c r="U1294">
        <v>75</v>
      </c>
      <c r="X1294">
        <v>227</v>
      </c>
      <c r="Y1294">
        <v>16</v>
      </c>
    </row>
    <row r="1295" spans="1:25" hidden="1" x14ac:dyDescent="0.25">
      <c r="A1295" t="str">
        <f t="shared" si="20"/>
        <v>2024_Vic_Kalkee_Chickpea_DetailedTOSTOS2VarietyDrummondWaterTrtIrrigated</v>
      </c>
      <c r="B1295">
        <v>2024038</v>
      </c>
      <c r="C1295" t="s">
        <v>108</v>
      </c>
      <c r="D1295">
        <v>6</v>
      </c>
      <c r="E1295" t="s">
        <v>34</v>
      </c>
      <c r="F1295" t="s">
        <v>123</v>
      </c>
      <c r="G1295" t="s">
        <v>27</v>
      </c>
      <c r="I1295">
        <v>2</v>
      </c>
      <c r="J1295" t="s">
        <v>110</v>
      </c>
      <c r="K1295" s="1">
        <v>45629</v>
      </c>
      <c r="L1295">
        <v>415.9</v>
      </c>
      <c r="M1295">
        <v>32</v>
      </c>
      <c r="N1295">
        <v>0.5</v>
      </c>
      <c r="O1295">
        <v>1.0999999999999999E-2</v>
      </c>
      <c r="P1295">
        <v>830</v>
      </c>
      <c r="Q1295">
        <v>80</v>
      </c>
      <c r="T1295">
        <v>1189</v>
      </c>
      <c r="U1295">
        <v>75</v>
      </c>
      <c r="X1295">
        <v>210</v>
      </c>
      <c r="Y1295">
        <v>16</v>
      </c>
    </row>
    <row r="1296" spans="1:25" hidden="1" x14ac:dyDescent="0.25">
      <c r="A1296" t="str">
        <f t="shared" si="20"/>
        <v>2024_Vic_Kalkee_Chickpea_DetailedTOSTOS1VarietyDrummondWaterTrtRainFed</v>
      </c>
      <c r="B1296">
        <v>2024038</v>
      </c>
      <c r="C1296" t="s">
        <v>108</v>
      </c>
      <c r="D1296">
        <v>6</v>
      </c>
      <c r="E1296" t="s">
        <v>34</v>
      </c>
      <c r="F1296" t="s">
        <v>123</v>
      </c>
      <c r="G1296" t="s">
        <v>30</v>
      </c>
      <c r="I1296">
        <v>1</v>
      </c>
      <c r="J1296" t="s">
        <v>109</v>
      </c>
      <c r="K1296" s="1">
        <v>45629</v>
      </c>
      <c r="L1296">
        <v>267.8</v>
      </c>
      <c r="M1296">
        <v>29</v>
      </c>
      <c r="N1296">
        <v>0.34100000000000003</v>
      </c>
      <c r="O1296">
        <v>1.7999999999999999E-2</v>
      </c>
      <c r="P1296">
        <v>542</v>
      </c>
      <c r="Q1296">
        <v>80</v>
      </c>
      <c r="T1296">
        <v>523</v>
      </c>
      <c r="U1296">
        <v>75</v>
      </c>
      <c r="X1296">
        <v>92</v>
      </c>
      <c r="Y1296">
        <v>14</v>
      </c>
    </row>
    <row r="1297" spans="1:25" hidden="1" x14ac:dyDescent="0.25">
      <c r="A1297" t="str">
        <f t="shared" si="20"/>
        <v>2024_Vic_Kalkee_Chickpea_DetailedTOSTOS2VarietyDrummondWaterTrtRainFed</v>
      </c>
      <c r="B1297">
        <v>2024038</v>
      </c>
      <c r="C1297" t="s">
        <v>108</v>
      </c>
      <c r="D1297">
        <v>6</v>
      </c>
      <c r="E1297" t="s">
        <v>34</v>
      </c>
      <c r="F1297" t="s">
        <v>123</v>
      </c>
      <c r="G1297" t="s">
        <v>30</v>
      </c>
      <c r="I1297">
        <v>2</v>
      </c>
      <c r="J1297" t="s">
        <v>110</v>
      </c>
      <c r="K1297" s="1">
        <v>45629</v>
      </c>
      <c r="L1297">
        <v>367.8</v>
      </c>
      <c r="M1297">
        <v>29</v>
      </c>
      <c r="N1297">
        <v>0.51100000000000001</v>
      </c>
      <c r="O1297">
        <v>9.7000000000000003E-3</v>
      </c>
      <c r="P1297">
        <v>858</v>
      </c>
      <c r="Q1297">
        <v>80</v>
      </c>
      <c r="T1297">
        <v>935</v>
      </c>
      <c r="U1297">
        <v>86</v>
      </c>
      <c r="X1297">
        <v>187</v>
      </c>
      <c r="Y1297">
        <v>14</v>
      </c>
    </row>
    <row r="1298" spans="1:25" hidden="1" x14ac:dyDescent="0.25">
      <c r="A1298" t="str">
        <f t="shared" si="20"/>
        <v>2024_Vic_Kalkee_Chickpea_DetailedTOSTOS1VarietyHatTrickWaterTrtIrrigated</v>
      </c>
      <c r="B1298">
        <v>2024038</v>
      </c>
      <c r="C1298" t="s">
        <v>108</v>
      </c>
      <c r="D1298">
        <v>6</v>
      </c>
      <c r="E1298" t="s">
        <v>34</v>
      </c>
      <c r="F1298" t="s">
        <v>124</v>
      </c>
      <c r="G1298" t="s">
        <v>27</v>
      </c>
      <c r="I1298">
        <v>1</v>
      </c>
      <c r="J1298" t="s">
        <v>109</v>
      </c>
      <c r="K1298" s="1">
        <v>45632</v>
      </c>
      <c r="L1298">
        <v>465.8</v>
      </c>
      <c r="M1298">
        <v>29</v>
      </c>
      <c r="N1298">
        <v>0.435</v>
      </c>
      <c r="O1298">
        <v>1.7999999999999999E-2</v>
      </c>
      <c r="P1298">
        <v>1015</v>
      </c>
      <c r="Q1298">
        <v>80</v>
      </c>
      <c r="T1298">
        <v>1216</v>
      </c>
      <c r="U1298">
        <v>75</v>
      </c>
      <c r="X1298">
        <v>202</v>
      </c>
      <c r="Y1298">
        <v>14</v>
      </c>
    </row>
    <row r="1299" spans="1:25" hidden="1" x14ac:dyDescent="0.25">
      <c r="A1299" t="str">
        <f t="shared" si="20"/>
        <v>2024_Vic_Kalkee_Chickpea_DetailedTOSTOS2VarietyHatTrickWaterTrtIrrigated</v>
      </c>
      <c r="B1299">
        <v>2024038</v>
      </c>
      <c r="C1299" t="s">
        <v>108</v>
      </c>
      <c r="D1299">
        <v>6</v>
      </c>
      <c r="E1299" t="s">
        <v>34</v>
      </c>
      <c r="F1299" t="s">
        <v>124</v>
      </c>
      <c r="G1299" t="s">
        <v>27</v>
      </c>
      <c r="I1299">
        <v>2</v>
      </c>
      <c r="J1299" t="s">
        <v>110</v>
      </c>
      <c r="K1299" s="1">
        <v>45632</v>
      </c>
      <c r="L1299">
        <v>448.2</v>
      </c>
      <c r="M1299">
        <v>29</v>
      </c>
      <c r="N1299">
        <v>0.501</v>
      </c>
      <c r="O1299">
        <v>9.7000000000000003E-3</v>
      </c>
      <c r="P1299">
        <v>1162</v>
      </c>
      <c r="Q1299">
        <v>80</v>
      </c>
      <c r="T1299">
        <v>1415</v>
      </c>
      <c r="U1299">
        <v>75</v>
      </c>
      <c r="X1299">
        <v>224</v>
      </c>
      <c r="Y1299">
        <v>14</v>
      </c>
    </row>
    <row r="1300" spans="1:25" hidden="1" x14ac:dyDescent="0.25">
      <c r="A1300" t="str">
        <f t="shared" si="20"/>
        <v>2024_Vic_Kalkee_Chickpea_DetailedTOSTOS1VarietyHatTrickWaterTrtRainFed</v>
      </c>
      <c r="B1300">
        <v>2024038</v>
      </c>
      <c r="C1300" t="s">
        <v>108</v>
      </c>
      <c r="D1300">
        <v>6</v>
      </c>
      <c r="E1300" t="s">
        <v>34</v>
      </c>
      <c r="F1300" t="s">
        <v>124</v>
      </c>
      <c r="G1300" t="s">
        <v>30</v>
      </c>
      <c r="I1300">
        <v>1</v>
      </c>
      <c r="J1300" t="s">
        <v>109</v>
      </c>
      <c r="K1300" s="1">
        <v>45629</v>
      </c>
      <c r="L1300">
        <v>305.39999999999998</v>
      </c>
      <c r="M1300">
        <v>29</v>
      </c>
      <c r="N1300">
        <v>0.39600000000000002</v>
      </c>
      <c r="O1300">
        <v>1.7999999999999999E-2</v>
      </c>
      <c r="P1300">
        <v>849</v>
      </c>
      <c r="Q1300">
        <v>80</v>
      </c>
      <c r="T1300">
        <v>812</v>
      </c>
      <c r="U1300">
        <v>75</v>
      </c>
      <c r="X1300">
        <v>121</v>
      </c>
      <c r="Y1300">
        <v>14</v>
      </c>
    </row>
    <row r="1301" spans="1:25" hidden="1" x14ac:dyDescent="0.25">
      <c r="A1301" t="str">
        <f t="shared" si="20"/>
        <v>2024_Vic_Kalkee_Chickpea_DetailedTOSTOS2VarietyHatTrickWaterTrtRainFed</v>
      </c>
      <c r="B1301">
        <v>2024038</v>
      </c>
      <c r="C1301" t="s">
        <v>108</v>
      </c>
      <c r="D1301">
        <v>6</v>
      </c>
      <c r="E1301" t="s">
        <v>34</v>
      </c>
      <c r="F1301" t="s">
        <v>124</v>
      </c>
      <c r="G1301" t="s">
        <v>30</v>
      </c>
      <c r="I1301">
        <v>2</v>
      </c>
      <c r="J1301" t="s">
        <v>110</v>
      </c>
      <c r="K1301" s="1">
        <v>45632</v>
      </c>
      <c r="L1301">
        <v>283.39999999999998</v>
      </c>
      <c r="M1301">
        <v>29</v>
      </c>
      <c r="N1301">
        <v>0.495</v>
      </c>
      <c r="O1301">
        <v>9.7000000000000003E-3</v>
      </c>
      <c r="P1301">
        <v>845</v>
      </c>
      <c r="Q1301">
        <v>80</v>
      </c>
      <c r="T1301">
        <v>898</v>
      </c>
      <c r="U1301">
        <v>75</v>
      </c>
      <c r="X1301">
        <v>140</v>
      </c>
      <c r="Y1301">
        <v>14</v>
      </c>
    </row>
    <row r="1302" spans="1:25" hidden="1" x14ac:dyDescent="0.25">
      <c r="A1302" t="str">
        <f t="shared" si="20"/>
        <v>2024_Vic_Kalkee_Chickpea_DetailedTOSTOS1VarietyStrikerWaterTrtIrrigated</v>
      </c>
      <c r="B1302">
        <v>2024038</v>
      </c>
      <c r="C1302" t="s">
        <v>108</v>
      </c>
      <c r="D1302">
        <v>6</v>
      </c>
      <c r="E1302" t="s">
        <v>34</v>
      </c>
      <c r="F1302" t="s">
        <v>125</v>
      </c>
      <c r="G1302" t="s">
        <v>27</v>
      </c>
      <c r="I1302">
        <v>1</v>
      </c>
      <c r="J1302" t="s">
        <v>109</v>
      </c>
      <c r="K1302" s="1">
        <v>45629</v>
      </c>
      <c r="L1302">
        <v>490.5</v>
      </c>
      <c r="M1302">
        <v>29</v>
      </c>
      <c r="N1302">
        <v>0.443</v>
      </c>
      <c r="O1302">
        <v>1.7999999999999999E-2</v>
      </c>
      <c r="P1302">
        <v>852</v>
      </c>
      <c r="Q1302">
        <v>80</v>
      </c>
      <c r="T1302">
        <v>1066</v>
      </c>
      <c r="U1302">
        <v>75</v>
      </c>
      <c r="X1302">
        <v>216</v>
      </c>
      <c r="Y1302">
        <v>14</v>
      </c>
    </row>
    <row r="1303" spans="1:25" hidden="1" x14ac:dyDescent="0.25">
      <c r="A1303" t="str">
        <f t="shared" si="20"/>
        <v>2024_Vic_Kalkee_Chickpea_DetailedTOSTOS2VarietyStrikerWaterTrtIrrigated</v>
      </c>
      <c r="B1303">
        <v>2024038</v>
      </c>
      <c r="C1303" t="s">
        <v>108</v>
      </c>
      <c r="D1303">
        <v>6</v>
      </c>
      <c r="E1303" t="s">
        <v>34</v>
      </c>
      <c r="F1303" t="s">
        <v>125</v>
      </c>
      <c r="G1303" t="s">
        <v>27</v>
      </c>
      <c r="I1303">
        <v>2</v>
      </c>
      <c r="J1303" t="s">
        <v>110</v>
      </c>
      <c r="K1303" s="1">
        <v>45629</v>
      </c>
      <c r="L1303">
        <v>431.6</v>
      </c>
      <c r="M1303">
        <v>29</v>
      </c>
      <c r="N1303">
        <v>0.503</v>
      </c>
      <c r="O1303">
        <v>9.7000000000000003E-3</v>
      </c>
      <c r="P1303">
        <v>964</v>
      </c>
      <c r="Q1303">
        <v>80</v>
      </c>
      <c r="T1303">
        <v>1094</v>
      </c>
      <c r="U1303">
        <v>75</v>
      </c>
      <c r="X1303">
        <v>216</v>
      </c>
      <c r="Y1303">
        <v>14</v>
      </c>
    </row>
    <row r="1304" spans="1:25" hidden="1" x14ac:dyDescent="0.25">
      <c r="A1304" t="str">
        <f t="shared" si="20"/>
        <v>2024_Vic_Kalkee_Chickpea_DetailedTOSTOS1VarietyStrikerWaterTrtRainFed</v>
      </c>
      <c r="B1304">
        <v>2024038</v>
      </c>
      <c r="C1304" t="s">
        <v>108</v>
      </c>
      <c r="D1304">
        <v>6</v>
      </c>
      <c r="E1304" t="s">
        <v>34</v>
      </c>
      <c r="F1304" t="s">
        <v>125</v>
      </c>
      <c r="G1304" t="s">
        <v>30</v>
      </c>
      <c r="I1304">
        <v>1</v>
      </c>
      <c r="J1304" t="s">
        <v>109</v>
      </c>
      <c r="K1304" s="1">
        <v>45629</v>
      </c>
      <c r="L1304">
        <v>332.1</v>
      </c>
      <c r="M1304">
        <v>29</v>
      </c>
      <c r="N1304">
        <v>0.46200000000000002</v>
      </c>
      <c r="O1304">
        <v>2.1000000000000001E-2</v>
      </c>
      <c r="P1304">
        <v>749</v>
      </c>
      <c r="Q1304">
        <v>80</v>
      </c>
      <c r="T1304">
        <v>878</v>
      </c>
      <c r="U1304">
        <v>75</v>
      </c>
      <c r="X1304">
        <v>128</v>
      </c>
      <c r="Y1304">
        <v>14</v>
      </c>
    </row>
    <row r="1305" spans="1:25" hidden="1" x14ac:dyDescent="0.25">
      <c r="A1305" t="str">
        <f t="shared" si="20"/>
        <v>2024_Vic_Kalkee_Chickpea_DetailedTOSTOS2VarietyStrikerWaterTrtRainFed</v>
      </c>
      <c r="B1305">
        <v>2024038</v>
      </c>
      <c r="C1305" t="s">
        <v>108</v>
      </c>
      <c r="D1305">
        <v>6</v>
      </c>
      <c r="E1305" t="s">
        <v>34</v>
      </c>
      <c r="F1305" t="s">
        <v>125</v>
      </c>
      <c r="G1305" t="s">
        <v>30</v>
      </c>
      <c r="I1305">
        <v>2</v>
      </c>
      <c r="J1305" t="s">
        <v>110</v>
      </c>
      <c r="K1305" s="1">
        <v>45629</v>
      </c>
      <c r="L1305">
        <v>287.39999999999998</v>
      </c>
      <c r="M1305">
        <v>29</v>
      </c>
      <c r="N1305">
        <v>0.52800000000000002</v>
      </c>
      <c r="O1305">
        <v>9.7000000000000003E-3</v>
      </c>
      <c r="P1305">
        <v>732</v>
      </c>
      <c r="Q1305">
        <v>80</v>
      </c>
      <c r="T1305">
        <v>842</v>
      </c>
      <c r="U1305">
        <v>75</v>
      </c>
      <c r="X1305">
        <v>152</v>
      </c>
      <c r="Y1305">
        <v>14</v>
      </c>
    </row>
    <row r="1306" spans="1:25" hidden="1" x14ac:dyDescent="0.25">
      <c r="A1306" t="str">
        <f t="shared" si="20"/>
        <v>2024_Vic_Kalkee_Fababean_DetailedTOSTOS1VarietyAmberleyWaterTrtIrrigated</v>
      </c>
      <c r="B1306">
        <v>2024039</v>
      </c>
      <c r="C1306" t="s">
        <v>111</v>
      </c>
      <c r="D1306">
        <v>2</v>
      </c>
      <c r="E1306" t="s">
        <v>25</v>
      </c>
      <c r="F1306" t="s">
        <v>126</v>
      </c>
      <c r="G1306" t="s">
        <v>27</v>
      </c>
      <c r="I1306">
        <v>1</v>
      </c>
      <c r="J1306" t="s">
        <v>112</v>
      </c>
      <c r="K1306" s="1">
        <v>45516</v>
      </c>
      <c r="L1306">
        <v>18.640532192917298</v>
      </c>
      <c r="M1306">
        <v>1.7366298510703699</v>
      </c>
    </row>
    <row r="1307" spans="1:25" hidden="1" x14ac:dyDescent="0.25">
      <c r="A1307" t="str">
        <f t="shared" si="20"/>
        <v>2024_Vic_Kalkee_Fababean_DetailedTOSTOS2VarietyAmberleyWaterTrtIrrigated</v>
      </c>
      <c r="B1307">
        <v>2024039</v>
      </c>
      <c r="C1307" t="s">
        <v>111</v>
      </c>
      <c r="D1307">
        <v>2</v>
      </c>
      <c r="E1307" t="s">
        <v>25</v>
      </c>
      <c r="F1307" t="s">
        <v>126</v>
      </c>
      <c r="G1307" t="s">
        <v>27</v>
      </c>
      <c r="I1307">
        <v>2</v>
      </c>
      <c r="J1307" t="s">
        <v>110</v>
      </c>
      <c r="K1307" s="1">
        <v>45532</v>
      </c>
      <c r="L1307">
        <v>8.5489130434781195</v>
      </c>
      <c r="M1307">
        <v>1.7366298510704501</v>
      </c>
    </row>
    <row r="1308" spans="1:25" hidden="1" x14ac:dyDescent="0.25">
      <c r="A1308" t="str">
        <f t="shared" si="20"/>
        <v>2024_Vic_Kalkee_Fababean_DetailedTOSTOS1VarietyAmberleyWaterTrtRainFed</v>
      </c>
      <c r="B1308">
        <v>2024039</v>
      </c>
      <c r="C1308" t="s">
        <v>111</v>
      </c>
      <c r="D1308">
        <v>2</v>
      </c>
      <c r="E1308" t="s">
        <v>25</v>
      </c>
      <c r="F1308" t="s">
        <v>126</v>
      </c>
      <c r="G1308" t="s">
        <v>30</v>
      </c>
      <c r="I1308">
        <v>1</v>
      </c>
      <c r="J1308" t="s">
        <v>112</v>
      </c>
      <c r="K1308" s="1">
        <v>45516</v>
      </c>
      <c r="L1308">
        <v>15.1222826086954</v>
      </c>
      <c r="M1308">
        <v>1.7366298510704601</v>
      </c>
    </row>
    <row r="1309" spans="1:25" hidden="1" x14ac:dyDescent="0.25">
      <c r="A1309" t="str">
        <f t="shared" si="20"/>
        <v>2024_Vic_Kalkee_Fababean_DetailedTOSTOS2VarietyAmberleyWaterTrtRainFed</v>
      </c>
      <c r="B1309">
        <v>2024039</v>
      </c>
      <c r="C1309" t="s">
        <v>111</v>
      </c>
      <c r="D1309">
        <v>2</v>
      </c>
      <c r="E1309" t="s">
        <v>25</v>
      </c>
      <c r="F1309" t="s">
        <v>126</v>
      </c>
      <c r="G1309" t="s">
        <v>30</v>
      </c>
      <c r="I1309">
        <v>2</v>
      </c>
      <c r="J1309" t="s">
        <v>110</v>
      </c>
      <c r="K1309" s="1">
        <v>45532</v>
      </c>
      <c r="L1309">
        <v>11.1467391304347</v>
      </c>
      <c r="M1309">
        <v>1.7366298510704701</v>
      </c>
    </row>
    <row r="1310" spans="1:25" hidden="1" x14ac:dyDescent="0.25">
      <c r="A1310" t="str">
        <f t="shared" si="20"/>
        <v>2024_Vic_Kalkee_Fababean_DetailedTOSTOS1VarietyMarneWaterTrtIrrigated</v>
      </c>
      <c r="B1310">
        <v>2024039</v>
      </c>
      <c r="C1310" t="s">
        <v>111</v>
      </c>
      <c r="D1310">
        <v>2</v>
      </c>
      <c r="E1310" t="s">
        <v>25</v>
      </c>
      <c r="F1310" t="s">
        <v>127</v>
      </c>
      <c r="G1310" t="s">
        <v>27</v>
      </c>
      <c r="I1310">
        <v>1</v>
      </c>
      <c r="J1310" t="s">
        <v>112</v>
      </c>
      <c r="K1310" s="1">
        <v>45516</v>
      </c>
      <c r="L1310">
        <v>15.763586956521699</v>
      </c>
      <c r="M1310">
        <v>1.7366298510704601</v>
      </c>
    </row>
    <row r="1311" spans="1:25" hidden="1" x14ac:dyDescent="0.25">
      <c r="A1311" t="str">
        <f t="shared" si="20"/>
        <v>2024_Vic_Kalkee_Fababean_DetailedTOSTOS2VarietyMarneWaterTrtIrrigated</v>
      </c>
      <c r="B1311">
        <v>2024039</v>
      </c>
      <c r="C1311" t="s">
        <v>111</v>
      </c>
      <c r="D1311">
        <v>2</v>
      </c>
      <c r="E1311" t="s">
        <v>25</v>
      </c>
      <c r="F1311" t="s">
        <v>127</v>
      </c>
      <c r="G1311" t="s">
        <v>27</v>
      </c>
      <c r="I1311">
        <v>2</v>
      </c>
      <c r="J1311" t="s">
        <v>110</v>
      </c>
      <c r="K1311" s="1">
        <v>45532</v>
      </c>
      <c r="L1311">
        <v>12.0271739130434</v>
      </c>
      <c r="M1311">
        <v>1.7366298510704701</v>
      </c>
    </row>
    <row r="1312" spans="1:25" hidden="1" x14ac:dyDescent="0.25">
      <c r="A1312" t="str">
        <f t="shared" si="20"/>
        <v>2024_Vic_Kalkee_Fababean_DetailedTOSTOS1VarietyMarneWaterTrtRainFed</v>
      </c>
      <c r="B1312">
        <v>2024039</v>
      </c>
      <c r="C1312" t="s">
        <v>111</v>
      </c>
      <c r="D1312">
        <v>2</v>
      </c>
      <c r="E1312" t="s">
        <v>25</v>
      </c>
      <c r="F1312" t="s">
        <v>127</v>
      </c>
      <c r="G1312" t="s">
        <v>30</v>
      </c>
      <c r="I1312">
        <v>1</v>
      </c>
      <c r="J1312" t="s">
        <v>112</v>
      </c>
      <c r="K1312" s="1">
        <v>45516</v>
      </c>
      <c r="L1312">
        <v>18.236413043478201</v>
      </c>
      <c r="M1312">
        <v>1.7366298510704701</v>
      </c>
    </row>
    <row r="1313" spans="1:13" hidden="1" x14ac:dyDescent="0.25">
      <c r="A1313" t="str">
        <f t="shared" si="20"/>
        <v>2024_Vic_Kalkee_Fababean_DetailedTOSTOS2VarietyMarneWaterTrtRainFed</v>
      </c>
      <c r="B1313">
        <v>2024039</v>
      </c>
      <c r="C1313" t="s">
        <v>111</v>
      </c>
      <c r="D1313">
        <v>2</v>
      </c>
      <c r="E1313" t="s">
        <v>25</v>
      </c>
      <c r="F1313" t="s">
        <v>127</v>
      </c>
      <c r="G1313" t="s">
        <v>30</v>
      </c>
      <c r="I1313">
        <v>2</v>
      </c>
      <c r="J1313" t="s">
        <v>110</v>
      </c>
      <c r="K1313" s="1">
        <v>45532</v>
      </c>
      <c r="L1313">
        <v>10.7255434782608</v>
      </c>
      <c r="M1313">
        <v>1.7366298510704701</v>
      </c>
    </row>
    <row r="1314" spans="1:13" hidden="1" x14ac:dyDescent="0.25">
      <c r="A1314" t="str">
        <f t="shared" si="20"/>
        <v>2024_Vic_Kalkee_Fababean_DetailedTOSTOS1VarietyNasmaWaterTrtIrrigated</v>
      </c>
      <c r="B1314">
        <v>2024039</v>
      </c>
      <c r="C1314" t="s">
        <v>111</v>
      </c>
      <c r="D1314">
        <v>2</v>
      </c>
      <c r="E1314" t="s">
        <v>25</v>
      </c>
      <c r="F1314" t="s">
        <v>128</v>
      </c>
      <c r="G1314" t="s">
        <v>27</v>
      </c>
      <c r="I1314">
        <v>1</v>
      </c>
      <c r="J1314" t="s">
        <v>112</v>
      </c>
      <c r="K1314" s="1">
        <v>45516</v>
      </c>
      <c r="L1314">
        <v>18.521674118608299</v>
      </c>
      <c r="M1314">
        <v>1.9994258445062001</v>
      </c>
    </row>
    <row r="1315" spans="1:13" hidden="1" x14ac:dyDescent="0.25">
      <c r="A1315" t="str">
        <f t="shared" si="20"/>
        <v>2024_Vic_Kalkee_Fababean_DetailedTOSTOS2VarietyNasmaWaterTrtIrrigated</v>
      </c>
      <c r="B1315">
        <v>2024039</v>
      </c>
      <c r="C1315" t="s">
        <v>111</v>
      </c>
      <c r="D1315">
        <v>2</v>
      </c>
      <c r="E1315" t="s">
        <v>25</v>
      </c>
      <c r="F1315" t="s">
        <v>128</v>
      </c>
      <c r="G1315" t="s">
        <v>27</v>
      </c>
      <c r="I1315">
        <v>2</v>
      </c>
      <c r="J1315" t="s">
        <v>110</v>
      </c>
      <c r="K1315" s="1">
        <v>45532</v>
      </c>
      <c r="L1315">
        <v>17.326086956521799</v>
      </c>
      <c r="M1315">
        <v>1.7366298510704701</v>
      </c>
    </row>
    <row r="1316" spans="1:13" hidden="1" x14ac:dyDescent="0.25">
      <c r="A1316" t="str">
        <f t="shared" si="20"/>
        <v>2024_Vic_Kalkee_Fababean_DetailedTOSTOS1VarietyNasmaWaterTrtRainFed</v>
      </c>
      <c r="B1316">
        <v>2024039</v>
      </c>
      <c r="C1316" t="s">
        <v>111</v>
      </c>
      <c r="D1316">
        <v>2</v>
      </c>
      <c r="E1316" t="s">
        <v>25</v>
      </c>
      <c r="F1316" t="s">
        <v>128</v>
      </c>
      <c r="G1316" t="s">
        <v>30</v>
      </c>
      <c r="I1316">
        <v>1</v>
      </c>
      <c r="J1316" t="s">
        <v>112</v>
      </c>
      <c r="K1316" s="1">
        <v>45516</v>
      </c>
      <c r="L1316">
        <v>19.2336956521739</v>
      </c>
      <c r="M1316">
        <v>1.7366298510704701</v>
      </c>
    </row>
    <row r="1317" spans="1:13" hidden="1" x14ac:dyDescent="0.25">
      <c r="A1317" t="str">
        <f t="shared" si="20"/>
        <v>2024_Vic_Kalkee_Fababean_DetailedTOSTOS2VarietyNasmaWaterTrtRainFed</v>
      </c>
      <c r="B1317">
        <v>2024039</v>
      </c>
      <c r="C1317" t="s">
        <v>111</v>
      </c>
      <c r="D1317">
        <v>2</v>
      </c>
      <c r="E1317" t="s">
        <v>25</v>
      </c>
      <c r="F1317" t="s">
        <v>128</v>
      </c>
      <c r="G1317" t="s">
        <v>30</v>
      </c>
      <c r="I1317">
        <v>2</v>
      </c>
      <c r="J1317" t="s">
        <v>110</v>
      </c>
      <c r="K1317" s="1">
        <v>45532</v>
      </c>
      <c r="L1317">
        <v>12.6630434782608</v>
      </c>
      <c r="M1317">
        <v>1.7366298510704701</v>
      </c>
    </row>
    <row r="1318" spans="1:13" hidden="1" x14ac:dyDescent="0.25">
      <c r="A1318" t="str">
        <f t="shared" si="20"/>
        <v>2024_Vic_Kalkee_Fababean_DetailedTOSTOS1VarietySamiraWaterTrtIrrigated</v>
      </c>
      <c r="B1318">
        <v>2024039</v>
      </c>
      <c r="C1318" t="s">
        <v>111</v>
      </c>
      <c r="D1318">
        <v>2</v>
      </c>
      <c r="E1318" t="s">
        <v>25</v>
      </c>
      <c r="F1318" t="s">
        <v>129</v>
      </c>
      <c r="G1318" t="s">
        <v>27</v>
      </c>
      <c r="I1318">
        <v>1</v>
      </c>
      <c r="J1318" t="s">
        <v>112</v>
      </c>
      <c r="K1318" s="1">
        <v>45516</v>
      </c>
      <c r="L1318">
        <v>18.823369565217401</v>
      </c>
      <c r="M1318">
        <v>1.7366298510704601</v>
      </c>
    </row>
    <row r="1319" spans="1:13" hidden="1" x14ac:dyDescent="0.25">
      <c r="A1319" t="str">
        <f t="shared" si="20"/>
        <v>2024_Vic_Kalkee_Fababean_DetailedTOSTOS2VarietySamiraWaterTrtIrrigated</v>
      </c>
      <c r="B1319">
        <v>2024039</v>
      </c>
      <c r="C1319" t="s">
        <v>111</v>
      </c>
      <c r="D1319">
        <v>2</v>
      </c>
      <c r="E1319" t="s">
        <v>25</v>
      </c>
      <c r="F1319" t="s">
        <v>129</v>
      </c>
      <c r="G1319" t="s">
        <v>27</v>
      </c>
      <c r="I1319">
        <v>2</v>
      </c>
      <c r="J1319" t="s">
        <v>110</v>
      </c>
      <c r="K1319" s="1">
        <v>45532</v>
      </c>
      <c r="L1319">
        <v>15.070652173913</v>
      </c>
      <c r="M1319">
        <v>1.7366298510704701</v>
      </c>
    </row>
    <row r="1320" spans="1:13" hidden="1" x14ac:dyDescent="0.25">
      <c r="A1320" t="str">
        <f t="shared" si="20"/>
        <v>2024_Vic_Kalkee_Fababean_DetailedTOSTOS1VarietySamiraWaterTrtRainFed</v>
      </c>
      <c r="B1320">
        <v>2024039</v>
      </c>
      <c r="C1320" t="s">
        <v>111</v>
      </c>
      <c r="D1320">
        <v>2</v>
      </c>
      <c r="E1320" t="s">
        <v>25</v>
      </c>
      <c r="F1320" t="s">
        <v>129</v>
      </c>
      <c r="G1320" t="s">
        <v>30</v>
      </c>
      <c r="I1320">
        <v>1</v>
      </c>
      <c r="J1320" t="s">
        <v>112</v>
      </c>
      <c r="K1320" s="1">
        <v>45516</v>
      </c>
      <c r="L1320">
        <v>15.758152173913</v>
      </c>
      <c r="M1320">
        <v>1.7366298510704701</v>
      </c>
    </row>
    <row r="1321" spans="1:13" hidden="1" x14ac:dyDescent="0.25">
      <c r="A1321" t="str">
        <f t="shared" si="20"/>
        <v>2024_Vic_Kalkee_Fababean_DetailedTOSTOS2VarietySamiraWaterTrtRainFed</v>
      </c>
      <c r="B1321">
        <v>2024039</v>
      </c>
      <c r="C1321" t="s">
        <v>111</v>
      </c>
      <c r="D1321">
        <v>2</v>
      </c>
      <c r="E1321" t="s">
        <v>25</v>
      </c>
      <c r="F1321" t="s">
        <v>129</v>
      </c>
      <c r="G1321" t="s">
        <v>30</v>
      </c>
      <c r="I1321">
        <v>2</v>
      </c>
      <c r="J1321" t="s">
        <v>110</v>
      </c>
      <c r="K1321" s="1">
        <v>45532</v>
      </c>
      <c r="L1321">
        <v>12.103260869565201</v>
      </c>
      <c r="M1321">
        <v>1.7366298510704701</v>
      </c>
    </row>
    <row r="1322" spans="1:13" hidden="1" x14ac:dyDescent="0.25">
      <c r="A1322" t="str">
        <f t="shared" si="20"/>
        <v>2024_Vic_Kalkee_Fababean_DetailedTOSTOS1VarietyAmberleyWaterTrtIrrigated</v>
      </c>
      <c r="B1322">
        <v>2024039</v>
      </c>
      <c r="C1322" t="s">
        <v>111</v>
      </c>
      <c r="D1322">
        <v>3</v>
      </c>
      <c r="E1322" t="s">
        <v>31</v>
      </c>
      <c r="F1322" t="s">
        <v>126</v>
      </c>
      <c r="G1322" t="s">
        <v>27</v>
      </c>
      <c r="I1322">
        <v>1</v>
      </c>
      <c r="J1322" t="s">
        <v>112</v>
      </c>
      <c r="K1322" s="1">
        <v>45532</v>
      </c>
      <c r="L1322">
        <v>72.940217391304003</v>
      </c>
      <c r="M1322">
        <v>6.46976993669269</v>
      </c>
    </row>
    <row r="1323" spans="1:13" hidden="1" x14ac:dyDescent="0.25">
      <c r="A1323" t="str">
        <f t="shared" si="20"/>
        <v>2024_Vic_Kalkee_Fababean_DetailedTOSTOS2VarietyAmberleyWaterTrtIrrigated</v>
      </c>
      <c r="B1323">
        <v>2024039</v>
      </c>
      <c r="C1323" t="s">
        <v>111</v>
      </c>
      <c r="D1323">
        <v>3</v>
      </c>
      <c r="E1323" t="s">
        <v>31</v>
      </c>
      <c r="F1323" t="s">
        <v>126</v>
      </c>
      <c r="G1323" t="s">
        <v>27</v>
      </c>
      <c r="I1323">
        <v>2</v>
      </c>
      <c r="J1323" t="s">
        <v>110</v>
      </c>
      <c r="K1323" s="1">
        <v>45551</v>
      </c>
      <c r="L1323">
        <v>134.80706521738901</v>
      </c>
      <c r="M1323">
        <v>6.4697699366927202</v>
      </c>
    </row>
    <row r="1324" spans="1:13" hidden="1" x14ac:dyDescent="0.25">
      <c r="A1324" t="str">
        <f t="shared" si="20"/>
        <v>2024_Vic_Kalkee_Fababean_DetailedTOSTOS1VarietyAmberleyWaterTrtRainFed</v>
      </c>
      <c r="B1324">
        <v>2024039</v>
      </c>
      <c r="C1324" t="s">
        <v>111</v>
      </c>
      <c r="D1324">
        <v>3</v>
      </c>
      <c r="E1324" t="s">
        <v>31</v>
      </c>
      <c r="F1324" t="s">
        <v>126</v>
      </c>
      <c r="G1324" t="s">
        <v>30</v>
      </c>
      <c r="I1324">
        <v>1</v>
      </c>
      <c r="J1324" t="s">
        <v>112</v>
      </c>
      <c r="K1324" s="1">
        <v>45532</v>
      </c>
      <c r="L1324">
        <v>56.986413043477</v>
      </c>
      <c r="M1324">
        <v>6.4697699366926997</v>
      </c>
    </row>
    <row r="1325" spans="1:13" hidden="1" x14ac:dyDescent="0.25">
      <c r="A1325" t="str">
        <f t="shared" si="20"/>
        <v>2024_Vic_Kalkee_Fababean_DetailedTOSTOS2VarietyAmberleyWaterTrtRainFed</v>
      </c>
      <c r="B1325">
        <v>2024039</v>
      </c>
      <c r="C1325" t="s">
        <v>111</v>
      </c>
      <c r="D1325">
        <v>3</v>
      </c>
      <c r="E1325" t="s">
        <v>31</v>
      </c>
      <c r="F1325" t="s">
        <v>126</v>
      </c>
      <c r="G1325" t="s">
        <v>30</v>
      </c>
      <c r="I1325">
        <v>2</v>
      </c>
      <c r="J1325" t="s">
        <v>110</v>
      </c>
      <c r="K1325" s="1">
        <v>45551</v>
      </c>
      <c r="L1325">
        <v>130.866847826087</v>
      </c>
      <c r="M1325">
        <v>6.4697699366927397</v>
      </c>
    </row>
    <row r="1326" spans="1:13" hidden="1" x14ac:dyDescent="0.25">
      <c r="A1326" t="str">
        <f t="shared" si="20"/>
        <v>2024_Vic_Kalkee_Fababean_DetailedTOSTOS1VarietyMarneWaterTrtIrrigated</v>
      </c>
      <c r="B1326">
        <v>2024039</v>
      </c>
      <c r="C1326" t="s">
        <v>111</v>
      </c>
      <c r="D1326">
        <v>3</v>
      </c>
      <c r="E1326" t="s">
        <v>31</v>
      </c>
      <c r="F1326" t="s">
        <v>127</v>
      </c>
      <c r="G1326" t="s">
        <v>27</v>
      </c>
      <c r="I1326">
        <v>1</v>
      </c>
      <c r="J1326" t="s">
        <v>112</v>
      </c>
      <c r="K1326" s="1">
        <v>45532</v>
      </c>
      <c r="L1326">
        <v>75.250000000001194</v>
      </c>
      <c r="M1326">
        <v>6.4697699366927601</v>
      </c>
    </row>
    <row r="1327" spans="1:13" hidden="1" x14ac:dyDescent="0.25">
      <c r="A1327" t="str">
        <f t="shared" si="20"/>
        <v>2024_Vic_Kalkee_Fababean_DetailedTOSTOS2VarietyMarneWaterTrtIrrigated</v>
      </c>
      <c r="B1327">
        <v>2024039</v>
      </c>
      <c r="C1327" t="s">
        <v>111</v>
      </c>
      <c r="D1327">
        <v>3</v>
      </c>
      <c r="E1327" t="s">
        <v>31</v>
      </c>
      <c r="F1327" t="s">
        <v>127</v>
      </c>
      <c r="G1327" t="s">
        <v>27</v>
      </c>
      <c r="I1327">
        <v>2</v>
      </c>
      <c r="J1327" t="s">
        <v>110</v>
      </c>
      <c r="K1327" s="1">
        <v>45551</v>
      </c>
      <c r="L1327">
        <v>147.247282608695</v>
      </c>
      <c r="M1327">
        <v>6.4697699366927104</v>
      </c>
    </row>
    <row r="1328" spans="1:13" hidden="1" x14ac:dyDescent="0.25">
      <c r="A1328" t="str">
        <f t="shared" si="20"/>
        <v>2024_Vic_Kalkee_Fababean_DetailedTOSTOS1VarietyMarneWaterTrtRainFed</v>
      </c>
      <c r="B1328">
        <v>2024039</v>
      </c>
      <c r="C1328" t="s">
        <v>111</v>
      </c>
      <c r="D1328">
        <v>3</v>
      </c>
      <c r="E1328" t="s">
        <v>31</v>
      </c>
      <c r="F1328" t="s">
        <v>127</v>
      </c>
      <c r="G1328" t="s">
        <v>30</v>
      </c>
      <c r="I1328">
        <v>1</v>
      </c>
      <c r="J1328" t="s">
        <v>112</v>
      </c>
      <c r="K1328" s="1">
        <v>45532</v>
      </c>
      <c r="L1328">
        <v>59.986413043477903</v>
      </c>
      <c r="M1328">
        <v>6.4697699366927104</v>
      </c>
    </row>
    <row r="1329" spans="1:13" hidden="1" x14ac:dyDescent="0.25">
      <c r="A1329" t="str">
        <f t="shared" si="20"/>
        <v>2024_Vic_Kalkee_Fababean_DetailedTOSTOS2VarietyMarneWaterTrtRainFed</v>
      </c>
      <c r="B1329">
        <v>2024039</v>
      </c>
      <c r="C1329" t="s">
        <v>111</v>
      </c>
      <c r="D1329">
        <v>3</v>
      </c>
      <c r="E1329" t="s">
        <v>31</v>
      </c>
      <c r="F1329" t="s">
        <v>127</v>
      </c>
      <c r="G1329" t="s">
        <v>30</v>
      </c>
      <c r="I1329">
        <v>2</v>
      </c>
      <c r="J1329" t="s">
        <v>110</v>
      </c>
      <c r="K1329" s="1">
        <v>45551</v>
      </c>
      <c r="L1329">
        <v>128.747282608696</v>
      </c>
      <c r="M1329">
        <v>6.4697699366927397</v>
      </c>
    </row>
    <row r="1330" spans="1:13" hidden="1" x14ac:dyDescent="0.25">
      <c r="A1330" t="str">
        <f t="shared" si="20"/>
        <v>2024_Vic_Kalkee_Fababean_DetailedTOSTOS1VarietyNasmaWaterTrtIrrigated</v>
      </c>
      <c r="B1330">
        <v>2024039</v>
      </c>
      <c r="C1330" t="s">
        <v>111</v>
      </c>
      <c r="D1330">
        <v>3</v>
      </c>
      <c r="E1330" t="s">
        <v>31</v>
      </c>
      <c r="F1330" t="s">
        <v>128</v>
      </c>
      <c r="G1330" t="s">
        <v>27</v>
      </c>
      <c r="I1330">
        <v>1</v>
      </c>
      <c r="J1330" t="s">
        <v>112</v>
      </c>
      <c r="K1330" s="1">
        <v>45532</v>
      </c>
      <c r="L1330">
        <v>57.385869565218499</v>
      </c>
      <c r="M1330">
        <v>6.4697699366927601</v>
      </c>
    </row>
    <row r="1331" spans="1:13" hidden="1" x14ac:dyDescent="0.25">
      <c r="A1331" t="str">
        <f t="shared" si="20"/>
        <v>2024_Vic_Kalkee_Fababean_DetailedTOSTOS2VarietyNasmaWaterTrtIrrigated</v>
      </c>
      <c r="B1331">
        <v>2024039</v>
      </c>
      <c r="C1331" t="s">
        <v>111</v>
      </c>
      <c r="D1331">
        <v>3</v>
      </c>
      <c r="E1331" t="s">
        <v>31</v>
      </c>
      <c r="F1331" t="s">
        <v>128</v>
      </c>
      <c r="G1331" t="s">
        <v>27</v>
      </c>
      <c r="I1331">
        <v>2</v>
      </c>
      <c r="J1331" t="s">
        <v>110</v>
      </c>
      <c r="K1331" s="1">
        <v>45551</v>
      </c>
      <c r="L1331">
        <v>134.81249999999901</v>
      </c>
      <c r="M1331">
        <v>6.4697699366927202</v>
      </c>
    </row>
    <row r="1332" spans="1:13" hidden="1" x14ac:dyDescent="0.25">
      <c r="A1332" t="str">
        <f t="shared" si="20"/>
        <v>2024_Vic_Kalkee_Fababean_DetailedTOSTOS1VarietyNasmaWaterTrtRainFed</v>
      </c>
      <c r="B1332">
        <v>2024039</v>
      </c>
      <c r="C1332" t="s">
        <v>111</v>
      </c>
      <c r="D1332">
        <v>3</v>
      </c>
      <c r="E1332" t="s">
        <v>31</v>
      </c>
      <c r="F1332" t="s">
        <v>128</v>
      </c>
      <c r="G1332" t="s">
        <v>30</v>
      </c>
      <c r="I1332">
        <v>1</v>
      </c>
      <c r="J1332" t="s">
        <v>112</v>
      </c>
      <c r="K1332" s="1">
        <v>45532</v>
      </c>
      <c r="L1332">
        <v>56.826086956521202</v>
      </c>
      <c r="M1332">
        <v>6.4697699366927104</v>
      </c>
    </row>
    <row r="1333" spans="1:13" hidden="1" x14ac:dyDescent="0.25">
      <c r="A1333" t="str">
        <f t="shared" si="20"/>
        <v>2024_Vic_Kalkee_Fababean_DetailedTOSTOS2VarietyNasmaWaterTrtRainFed</v>
      </c>
      <c r="B1333">
        <v>2024039</v>
      </c>
      <c r="C1333" t="s">
        <v>111</v>
      </c>
      <c r="D1333">
        <v>3</v>
      </c>
      <c r="E1333" t="s">
        <v>31</v>
      </c>
      <c r="F1333" t="s">
        <v>128</v>
      </c>
      <c r="G1333" t="s">
        <v>30</v>
      </c>
      <c r="I1333">
        <v>2</v>
      </c>
      <c r="J1333" t="s">
        <v>110</v>
      </c>
      <c r="K1333" s="1">
        <v>45551</v>
      </c>
      <c r="L1333">
        <v>132.127717391304</v>
      </c>
      <c r="M1333">
        <v>6.4697699366927299</v>
      </c>
    </row>
    <row r="1334" spans="1:13" hidden="1" x14ac:dyDescent="0.25">
      <c r="A1334" t="str">
        <f t="shared" si="20"/>
        <v>2024_Vic_Kalkee_Fababean_DetailedTOSTOS1VarietySamiraWaterTrtIrrigated</v>
      </c>
      <c r="B1334">
        <v>2024039</v>
      </c>
      <c r="C1334" t="s">
        <v>111</v>
      </c>
      <c r="D1334">
        <v>3</v>
      </c>
      <c r="E1334" t="s">
        <v>31</v>
      </c>
      <c r="F1334" t="s">
        <v>129</v>
      </c>
      <c r="G1334" t="s">
        <v>27</v>
      </c>
      <c r="I1334">
        <v>1</v>
      </c>
      <c r="J1334" t="s">
        <v>112</v>
      </c>
      <c r="K1334" s="1">
        <v>45532</v>
      </c>
      <c r="L1334">
        <v>47.407608695653003</v>
      </c>
      <c r="M1334">
        <v>6.4697699366927699</v>
      </c>
    </row>
    <row r="1335" spans="1:13" hidden="1" x14ac:dyDescent="0.25">
      <c r="A1335" t="str">
        <f t="shared" si="20"/>
        <v>2024_Vic_Kalkee_Fababean_DetailedTOSTOS2VarietySamiraWaterTrtIrrigated</v>
      </c>
      <c r="B1335">
        <v>2024039</v>
      </c>
      <c r="C1335" t="s">
        <v>111</v>
      </c>
      <c r="D1335">
        <v>3</v>
      </c>
      <c r="E1335" t="s">
        <v>31</v>
      </c>
      <c r="F1335" t="s">
        <v>129</v>
      </c>
      <c r="G1335" t="s">
        <v>27</v>
      </c>
      <c r="I1335">
        <v>2</v>
      </c>
      <c r="J1335" t="s">
        <v>110</v>
      </c>
      <c r="K1335" s="1">
        <v>45551</v>
      </c>
      <c r="L1335">
        <v>120.85326086956501</v>
      </c>
      <c r="M1335">
        <v>6.4697699366927202</v>
      </c>
    </row>
    <row r="1336" spans="1:13" hidden="1" x14ac:dyDescent="0.25">
      <c r="A1336" t="str">
        <f t="shared" si="20"/>
        <v>2024_Vic_Kalkee_Fababean_DetailedTOSTOS1VarietySamiraWaterTrtRainFed</v>
      </c>
      <c r="B1336">
        <v>2024039</v>
      </c>
      <c r="C1336" t="s">
        <v>111</v>
      </c>
      <c r="D1336">
        <v>3</v>
      </c>
      <c r="E1336" t="s">
        <v>31</v>
      </c>
      <c r="F1336" t="s">
        <v>129</v>
      </c>
      <c r="G1336" t="s">
        <v>30</v>
      </c>
      <c r="I1336">
        <v>1</v>
      </c>
      <c r="J1336" t="s">
        <v>112</v>
      </c>
      <c r="K1336" s="1">
        <v>45532</v>
      </c>
      <c r="L1336">
        <v>56.301630434782098</v>
      </c>
      <c r="M1336">
        <v>6.4697699366927104</v>
      </c>
    </row>
    <row r="1337" spans="1:13" hidden="1" x14ac:dyDescent="0.25">
      <c r="A1337" t="str">
        <f t="shared" si="20"/>
        <v>2024_Vic_Kalkee_Fababean_DetailedTOSTOS2VarietySamiraWaterTrtRainFed</v>
      </c>
      <c r="B1337">
        <v>2024039</v>
      </c>
      <c r="C1337" t="s">
        <v>111</v>
      </c>
      <c r="D1337">
        <v>3</v>
      </c>
      <c r="E1337" t="s">
        <v>31</v>
      </c>
      <c r="F1337" t="s">
        <v>129</v>
      </c>
      <c r="G1337" t="s">
        <v>30</v>
      </c>
      <c r="I1337">
        <v>2</v>
      </c>
      <c r="J1337" t="s">
        <v>110</v>
      </c>
      <c r="K1337" s="1">
        <v>45551</v>
      </c>
      <c r="L1337">
        <v>127.07336956521701</v>
      </c>
      <c r="M1337">
        <v>6.4697699366927299</v>
      </c>
    </row>
    <row r="1338" spans="1:13" hidden="1" x14ac:dyDescent="0.25">
      <c r="A1338" t="str">
        <f t="shared" si="20"/>
        <v>2024_Vic_Kalkee_Fababean_DetailedTOSTOS1VarietyAmberleyWaterTrtIrrigated</v>
      </c>
      <c r="B1338">
        <v>2024039</v>
      </c>
      <c r="C1338" t="s">
        <v>111</v>
      </c>
      <c r="D1338">
        <v>4</v>
      </c>
      <c r="E1338" t="s">
        <v>32</v>
      </c>
      <c r="F1338" t="s">
        <v>126</v>
      </c>
      <c r="G1338" t="s">
        <v>27</v>
      </c>
      <c r="I1338">
        <v>1</v>
      </c>
      <c r="J1338" t="s">
        <v>112</v>
      </c>
      <c r="K1338" s="1">
        <v>45544</v>
      </c>
      <c r="L1338">
        <v>223.160759124191</v>
      </c>
      <c r="M1338">
        <v>18.305841845795999</v>
      </c>
    </row>
    <row r="1339" spans="1:13" hidden="1" x14ac:dyDescent="0.25">
      <c r="A1339" t="str">
        <f t="shared" si="20"/>
        <v>2024_Vic_Kalkee_Fababean_DetailedTOSTOS2VarietyAmberleyWaterTrtIrrigated</v>
      </c>
      <c r="B1339">
        <v>2024039</v>
      </c>
      <c r="C1339" t="s">
        <v>111</v>
      </c>
      <c r="D1339">
        <v>4</v>
      </c>
      <c r="E1339" t="s">
        <v>32</v>
      </c>
      <c r="F1339" t="s">
        <v>126</v>
      </c>
      <c r="G1339" t="s">
        <v>27</v>
      </c>
      <c r="I1339">
        <v>2</v>
      </c>
      <c r="J1339" t="s">
        <v>110</v>
      </c>
      <c r="K1339" s="1">
        <v>45544</v>
      </c>
      <c r="L1339">
        <v>164.67391304348001</v>
      </c>
      <c r="M1339">
        <v>16.389457871177701</v>
      </c>
    </row>
    <row r="1340" spans="1:13" hidden="1" x14ac:dyDescent="0.25">
      <c r="A1340" t="str">
        <f t="shared" si="20"/>
        <v>2024_Vic_Kalkee_Fababean_DetailedTOSTOS1VarietyAmberleyWaterTrtRainFed</v>
      </c>
      <c r="B1340">
        <v>2024039</v>
      </c>
      <c r="C1340" t="s">
        <v>111</v>
      </c>
      <c r="D1340">
        <v>4</v>
      </c>
      <c r="E1340" t="s">
        <v>32</v>
      </c>
      <c r="F1340" t="s">
        <v>126</v>
      </c>
      <c r="G1340" t="s">
        <v>30</v>
      </c>
      <c r="I1340">
        <v>1</v>
      </c>
      <c r="J1340" t="s">
        <v>112</v>
      </c>
      <c r="K1340" s="1">
        <v>45544</v>
      </c>
      <c r="L1340">
        <v>212.86956521739299</v>
      </c>
      <c r="M1340">
        <v>16.389457871177701</v>
      </c>
    </row>
    <row r="1341" spans="1:13" hidden="1" x14ac:dyDescent="0.25">
      <c r="A1341" t="str">
        <f t="shared" si="20"/>
        <v>2024_Vic_Kalkee_Fababean_DetailedTOSTOS2VarietyAmberleyWaterTrtRainFed</v>
      </c>
      <c r="B1341">
        <v>2024039</v>
      </c>
      <c r="C1341" t="s">
        <v>111</v>
      </c>
      <c r="D1341">
        <v>4</v>
      </c>
      <c r="E1341" t="s">
        <v>32</v>
      </c>
      <c r="F1341" t="s">
        <v>126</v>
      </c>
      <c r="G1341" t="s">
        <v>30</v>
      </c>
      <c r="I1341">
        <v>2</v>
      </c>
      <c r="J1341" t="s">
        <v>110</v>
      </c>
      <c r="K1341" s="1">
        <v>45544</v>
      </c>
      <c r="L1341">
        <v>167.11141304348001</v>
      </c>
      <c r="M1341">
        <v>16.3894578711778</v>
      </c>
    </row>
    <row r="1342" spans="1:13" hidden="1" x14ac:dyDescent="0.25">
      <c r="A1342" t="str">
        <f t="shared" si="20"/>
        <v>2024_Vic_Kalkee_Fababean_DetailedTOSTOS1VarietyMarneWaterTrtIrrigated</v>
      </c>
      <c r="B1342">
        <v>2024039</v>
      </c>
      <c r="C1342" t="s">
        <v>111</v>
      </c>
      <c r="D1342">
        <v>4</v>
      </c>
      <c r="E1342" t="s">
        <v>32</v>
      </c>
      <c r="F1342" t="s">
        <v>127</v>
      </c>
      <c r="G1342" t="s">
        <v>27</v>
      </c>
      <c r="I1342">
        <v>1</v>
      </c>
      <c r="J1342" t="s">
        <v>112</v>
      </c>
      <c r="K1342" s="1">
        <v>45544</v>
      </c>
      <c r="L1342">
        <v>227.09782608696301</v>
      </c>
      <c r="M1342">
        <v>16.3894578711778</v>
      </c>
    </row>
    <row r="1343" spans="1:13" hidden="1" x14ac:dyDescent="0.25">
      <c r="A1343" t="str">
        <f t="shared" si="20"/>
        <v>2024_Vic_Kalkee_Fababean_DetailedTOSTOS2VarietyMarneWaterTrtIrrigated</v>
      </c>
      <c r="B1343">
        <v>2024039</v>
      </c>
      <c r="C1343" t="s">
        <v>111</v>
      </c>
      <c r="D1343">
        <v>4</v>
      </c>
      <c r="E1343" t="s">
        <v>32</v>
      </c>
      <c r="F1343" t="s">
        <v>127</v>
      </c>
      <c r="G1343" t="s">
        <v>27</v>
      </c>
      <c r="I1343">
        <v>2</v>
      </c>
      <c r="J1343" t="s">
        <v>110</v>
      </c>
      <c r="K1343" s="1">
        <v>45544</v>
      </c>
      <c r="L1343">
        <v>183.06250000000199</v>
      </c>
      <c r="M1343">
        <v>16.389457871177701</v>
      </c>
    </row>
    <row r="1344" spans="1:13" hidden="1" x14ac:dyDescent="0.25">
      <c r="A1344" t="str">
        <f t="shared" si="20"/>
        <v>2024_Vic_Kalkee_Fababean_DetailedTOSTOS1VarietyMarneWaterTrtRainFed</v>
      </c>
      <c r="B1344">
        <v>2024039</v>
      </c>
      <c r="C1344" t="s">
        <v>111</v>
      </c>
      <c r="D1344">
        <v>4</v>
      </c>
      <c r="E1344" t="s">
        <v>32</v>
      </c>
      <c r="F1344" t="s">
        <v>127</v>
      </c>
      <c r="G1344" t="s">
        <v>30</v>
      </c>
      <c r="I1344">
        <v>1</v>
      </c>
      <c r="J1344" t="s">
        <v>112</v>
      </c>
      <c r="K1344" s="1">
        <v>45544</v>
      </c>
      <c r="L1344">
        <v>200.06250000000199</v>
      </c>
      <c r="M1344">
        <v>16.389457871177701</v>
      </c>
    </row>
    <row r="1345" spans="1:13" hidden="1" x14ac:dyDescent="0.25">
      <c r="A1345" t="str">
        <f t="shared" si="20"/>
        <v>2024_Vic_Kalkee_Fababean_DetailedTOSTOS2VarietyMarneWaterTrtRainFed</v>
      </c>
      <c r="B1345">
        <v>2024039</v>
      </c>
      <c r="C1345" t="s">
        <v>111</v>
      </c>
      <c r="D1345">
        <v>4</v>
      </c>
      <c r="E1345" t="s">
        <v>32</v>
      </c>
      <c r="F1345" t="s">
        <v>127</v>
      </c>
      <c r="G1345" t="s">
        <v>30</v>
      </c>
      <c r="I1345">
        <v>2</v>
      </c>
      <c r="J1345" t="s">
        <v>110</v>
      </c>
      <c r="K1345" s="1">
        <v>45544</v>
      </c>
      <c r="L1345">
        <v>150.63315217391499</v>
      </c>
      <c r="M1345">
        <v>16.389457871177701</v>
      </c>
    </row>
    <row r="1346" spans="1:13" hidden="1" x14ac:dyDescent="0.25">
      <c r="A1346" t="str">
        <f t="shared" si="20"/>
        <v>2024_Vic_Kalkee_Fababean_DetailedTOSTOS1VarietyNasmaWaterTrtIrrigated</v>
      </c>
      <c r="B1346">
        <v>2024039</v>
      </c>
      <c r="C1346" t="s">
        <v>111</v>
      </c>
      <c r="D1346">
        <v>4</v>
      </c>
      <c r="E1346" t="s">
        <v>32</v>
      </c>
      <c r="F1346" t="s">
        <v>128</v>
      </c>
      <c r="G1346" t="s">
        <v>27</v>
      </c>
      <c r="I1346">
        <v>1</v>
      </c>
      <c r="J1346" t="s">
        <v>112</v>
      </c>
      <c r="K1346" s="1">
        <v>45538</v>
      </c>
      <c r="L1346">
        <v>130.04347826087599</v>
      </c>
      <c r="M1346">
        <v>16.3894578711778</v>
      </c>
    </row>
    <row r="1347" spans="1:13" hidden="1" x14ac:dyDescent="0.25">
      <c r="A1347" t="str">
        <f t="shared" ref="A1347:A1410" si="21">C1347&amp;"TOSTOS"&amp;I1347&amp;"Variety"&amp;F1347&amp;"WaterTrt"&amp;G1347&amp;IF(H1347="","","Agronomy"&amp;H1347)</f>
        <v>2024_Vic_Kalkee_Fababean_DetailedTOSTOS2VarietyNasmaWaterTrtIrrigated</v>
      </c>
      <c r="B1347">
        <v>2024039</v>
      </c>
      <c r="C1347" t="s">
        <v>111</v>
      </c>
      <c r="D1347">
        <v>4</v>
      </c>
      <c r="E1347" t="s">
        <v>32</v>
      </c>
      <c r="F1347" t="s">
        <v>128</v>
      </c>
      <c r="G1347" t="s">
        <v>27</v>
      </c>
      <c r="I1347">
        <v>2</v>
      </c>
      <c r="J1347" t="s">
        <v>110</v>
      </c>
      <c r="K1347" s="1">
        <v>45538</v>
      </c>
      <c r="L1347">
        <v>202.68750000000199</v>
      </c>
      <c r="M1347">
        <v>16.389457871177701</v>
      </c>
    </row>
    <row r="1348" spans="1:13" hidden="1" x14ac:dyDescent="0.25">
      <c r="A1348" t="str">
        <f t="shared" si="21"/>
        <v>2024_Vic_Kalkee_Fababean_DetailedTOSTOS1VarietyNasmaWaterTrtRainFed</v>
      </c>
      <c r="B1348">
        <v>2024039</v>
      </c>
      <c r="C1348" t="s">
        <v>111</v>
      </c>
      <c r="D1348">
        <v>4</v>
      </c>
      <c r="E1348" t="s">
        <v>32</v>
      </c>
      <c r="F1348" t="s">
        <v>128</v>
      </c>
      <c r="G1348" t="s">
        <v>30</v>
      </c>
      <c r="I1348">
        <v>1</v>
      </c>
      <c r="J1348" t="s">
        <v>112</v>
      </c>
      <c r="K1348" s="1">
        <v>45538</v>
      </c>
      <c r="L1348">
        <v>107.92934782608801</v>
      </c>
      <c r="M1348">
        <v>16.389457871177701</v>
      </c>
    </row>
    <row r="1349" spans="1:13" hidden="1" x14ac:dyDescent="0.25">
      <c r="A1349" t="str">
        <f t="shared" si="21"/>
        <v>2024_Vic_Kalkee_Fababean_DetailedTOSTOS2VarietyNasmaWaterTrtRainFed</v>
      </c>
      <c r="B1349">
        <v>2024039</v>
      </c>
      <c r="C1349" t="s">
        <v>111</v>
      </c>
      <c r="D1349">
        <v>4</v>
      </c>
      <c r="E1349" t="s">
        <v>32</v>
      </c>
      <c r="F1349" t="s">
        <v>128</v>
      </c>
      <c r="G1349" t="s">
        <v>30</v>
      </c>
      <c r="I1349">
        <v>2</v>
      </c>
      <c r="J1349" t="s">
        <v>110</v>
      </c>
      <c r="K1349" s="1">
        <v>45538</v>
      </c>
      <c r="L1349">
        <v>223.16576086956701</v>
      </c>
      <c r="M1349">
        <v>16.389457871177701</v>
      </c>
    </row>
    <row r="1350" spans="1:13" hidden="1" x14ac:dyDescent="0.25">
      <c r="A1350" t="str">
        <f t="shared" si="21"/>
        <v>2024_Vic_Kalkee_Fababean_DetailedTOSTOS1VarietySamiraWaterTrtIrrigated</v>
      </c>
      <c r="B1350">
        <v>2024039</v>
      </c>
      <c r="C1350" t="s">
        <v>111</v>
      </c>
      <c r="D1350">
        <v>4</v>
      </c>
      <c r="E1350" t="s">
        <v>32</v>
      </c>
      <c r="F1350" t="s">
        <v>129</v>
      </c>
      <c r="G1350" t="s">
        <v>27</v>
      </c>
      <c r="I1350">
        <v>1</v>
      </c>
      <c r="J1350" t="s">
        <v>112</v>
      </c>
      <c r="K1350" s="1">
        <v>45544</v>
      </c>
      <c r="L1350">
        <v>203.375000000006</v>
      </c>
      <c r="M1350">
        <v>16.3894578711778</v>
      </c>
    </row>
    <row r="1351" spans="1:13" hidden="1" x14ac:dyDescent="0.25">
      <c r="A1351" t="str">
        <f t="shared" si="21"/>
        <v>2024_Vic_Kalkee_Fababean_DetailedTOSTOS2VarietySamiraWaterTrtIrrigated</v>
      </c>
      <c r="B1351">
        <v>2024039</v>
      </c>
      <c r="C1351" t="s">
        <v>111</v>
      </c>
      <c r="D1351">
        <v>4</v>
      </c>
      <c r="E1351" t="s">
        <v>32</v>
      </c>
      <c r="F1351" t="s">
        <v>129</v>
      </c>
      <c r="G1351" t="s">
        <v>27</v>
      </c>
      <c r="I1351">
        <v>2</v>
      </c>
      <c r="J1351" t="s">
        <v>110</v>
      </c>
      <c r="K1351" s="1">
        <v>45544</v>
      </c>
      <c r="L1351">
        <v>180.089673913045</v>
      </c>
      <c r="M1351">
        <v>16.389457871177701</v>
      </c>
    </row>
    <row r="1352" spans="1:13" hidden="1" x14ac:dyDescent="0.25">
      <c r="A1352" t="str">
        <f t="shared" si="21"/>
        <v>2024_Vic_Kalkee_Fababean_DetailedTOSTOS1VarietySamiraWaterTrtRainFed</v>
      </c>
      <c r="B1352">
        <v>2024039</v>
      </c>
      <c r="C1352" t="s">
        <v>111</v>
      </c>
      <c r="D1352">
        <v>4</v>
      </c>
      <c r="E1352" t="s">
        <v>32</v>
      </c>
      <c r="F1352" t="s">
        <v>129</v>
      </c>
      <c r="G1352" t="s">
        <v>30</v>
      </c>
      <c r="I1352">
        <v>1</v>
      </c>
      <c r="J1352" t="s">
        <v>112</v>
      </c>
      <c r="K1352" s="1">
        <v>45544</v>
      </c>
      <c r="L1352">
        <v>207.79076086956701</v>
      </c>
      <c r="M1352">
        <v>16.389457871177701</v>
      </c>
    </row>
    <row r="1353" spans="1:13" hidden="1" x14ac:dyDescent="0.25">
      <c r="A1353" t="str">
        <f t="shared" si="21"/>
        <v>2024_Vic_Kalkee_Fababean_DetailedTOSTOS2VarietySamiraWaterTrtRainFed</v>
      </c>
      <c r="B1353">
        <v>2024039</v>
      </c>
      <c r="C1353" t="s">
        <v>111</v>
      </c>
      <c r="D1353">
        <v>4</v>
      </c>
      <c r="E1353" t="s">
        <v>32</v>
      </c>
      <c r="F1353" t="s">
        <v>129</v>
      </c>
      <c r="G1353" t="s">
        <v>30</v>
      </c>
      <c r="I1353">
        <v>2</v>
      </c>
      <c r="J1353" t="s">
        <v>110</v>
      </c>
      <c r="K1353" s="1">
        <v>45544</v>
      </c>
      <c r="L1353">
        <v>150.394021739132</v>
      </c>
      <c r="M1353">
        <v>16.389457871177701</v>
      </c>
    </row>
    <row r="1354" spans="1:13" hidden="1" x14ac:dyDescent="0.25">
      <c r="A1354" t="str">
        <f t="shared" si="21"/>
        <v>2024_Vic_Kalkee_Fababean_DetailedTOSTOS1VarietyAmberleyWaterTrtIrrigated</v>
      </c>
      <c r="B1354">
        <v>2024039</v>
      </c>
      <c r="C1354" t="s">
        <v>111</v>
      </c>
      <c r="D1354">
        <v>5</v>
      </c>
      <c r="E1354" t="s">
        <v>33</v>
      </c>
      <c r="F1354" t="s">
        <v>126</v>
      </c>
      <c r="G1354" t="s">
        <v>27</v>
      </c>
      <c r="I1354">
        <v>1</v>
      </c>
      <c r="J1354" t="s">
        <v>112</v>
      </c>
      <c r="K1354" s="1">
        <v>45586</v>
      </c>
      <c r="L1354">
        <v>634.21500000000196</v>
      </c>
      <c r="M1354">
        <v>43.630717636262901</v>
      </c>
    </row>
    <row r="1355" spans="1:13" hidden="1" x14ac:dyDescent="0.25">
      <c r="A1355" t="str">
        <f t="shared" si="21"/>
        <v>2024_Vic_Kalkee_Fababean_DetailedTOSTOS2VarietyAmberleyWaterTrtIrrigated</v>
      </c>
      <c r="B1355">
        <v>2024039</v>
      </c>
      <c r="C1355" t="s">
        <v>111</v>
      </c>
      <c r="D1355">
        <v>5</v>
      </c>
      <c r="E1355" t="s">
        <v>33</v>
      </c>
      <c r="F1355" t="s">
        <v>126</v>
      </c>
      <c r="G1355" t="s">
        <v>27</v>
      </c>
      <c r="I1355">
        <v>2</v>
      </c>
      <c r="J1355" t="s">
        <v>110</v>
      </c>
      <c r="K1355" s="1">
        <v>45598</v>
      </c>
      <c r="L1355">
        <v>505.45999999999401</v>
      </c>
      <c r="M1355">
        <v>43.630717636263199</v>
      </c>
    </row>
    <row r="1356" spans="1:13" hidden="1" x14ac:dyDescent="0.25">
      <c r="A1356" t="str">
        <f t="shared" si="21"/>
        <v>2024_Vic_Kalkee_Fababean_DetailedTOSTOS1VarietyAmberleyWaterTrtRainFed</v>
      </c>
      <c r="B1356">
        <v>2024039</v>
      </c>
      <c r="C1356" t="s">
        <v>111</v>
      </c>
      <c r="D1356">
        <v>5</v>
      </c>
      <c r="E1356" t="s">
        <v>33</v>
      </c>
      <c r="F1356" t="s">
        <v>126</v>
      </c>
      <c r="G1356" t="s">
        <v>30</v>
      </c>
      <c r="I1356">
        <v>1</v>
      </c>
      <c r="J1356" t="s">
        <v>112</v>
      </c>
      <c r="K1356" s="1">
        <v>45579</v>
      </c>
      <c r="L1356">
        <v>476.12749999999602</v>
      </c>
      <c r="M1356">
        <v>43.630717636263299</v>
      </c>
    </row>
    <row r="1357" spans="1:13" hidden="1" x14ac:dyDescent="0.25">
      <c r="A1357" t="str">
        <f t="shared" si="21"/>
        <v>2024_Vic_Kalkee_Fababean_DetailedTOSTOS2VarietyAmberleyWaterTrtRainFed</v>
      </c>
      <c r="B1357">
        <v>2024039</v>
      </c>
      <c r="C1357" t="s">
        <v>111</v>
      </c>
      <c r="D1357">
        <v>5</v>
      </c>
      <c r="E1357" t="s">
        <v>33</v>
      </c>
      <c r="F1357" t="s">
        <v>126</v>
      </c>
      <c r="G1357" t="s">
        <v>30</v>
      </c>
      <c r="I1357">
        <v>2</v>
      </c>
      <c r="J1357" t="s">
        <v>110</v>
      </c>
      <c r="K1357" s="1">
        <v>45598</v>
      </c>
      <c r="L1357">
        <v>306.45499999999998</v>
      </c>
      <c r="M1357">
        <v>43.630717636262901</v>
      </c>
    </row>
    <row r="1358" spans="1:13" hidden="1" x14ac:dyDescent="0.25">
      <c r="A1358" t="str">
        <f t="shared" si="21"/>
        <v>2024_Vic_Kalkee_Fababean_DetailedTOSTOS1VarietyMarneWaterTrtIrrigated</v>
      </c>
      <c r="B1358">
        <v>2024039</v>
      </c>
      <c r="C1358" t="s">
        <v>111</v>
      </c>
      <c r="D1358">
        <v>5</v>
      </c>
      <c r="E1358" t="s">
        <v>33</v>
      </c>
      <c r="F1358" t="s">
        <v>127</v>
      </c>
      <c r="G1358" t="s">
        <v>27</v>
      </c>
      <c r="I1358">
        <v>1</v>
      </c>
      <c r="J1358" t="s">
        <v>112</v>
      </c>
      <c r="K1358" s="1">
        <v>45586</v>
      </c>
      <c r="L1358">
        <v>646.55250000000206</v>
      </c>
      <c r="M1358">
        <v>43.630717636262801</v>
      </c>
    </row>
    <row r="1359" spans="1:13" hidden="1" x14ac:dyDescent="0.25">
      <c r="A1359" t="str">
        <f t="shared" si="21"/>
        <v>2024_Vic_Kalkee_Fababean_DetailedTOSTOS2VarietyMarneWaterTrtIrrigated</v>
      </c>
      <c r="B1359">
        <v>2024039</v>
      </c>
      <c r="C1359" t="s">
        <v>111</v>
      </c>
      <c r="D1359">
        <v>5</v>
      </c>
      <c r="E1359" t="s">
        <v>33</v>
      </c>
      <c r="F1359" t="s">
        <v>127</v>
      </c>
      <c r="G1359" t="s">
        <v>27</v>
      </c>
      <c r="I1359">
        <v>2</v>
      </c>
      <c r="J1359" t="s">
        <v>110</v>
      </c>
      <c r="K1359" s="1">
        <v>45598</v>
      </c>
      <c r="L1359">
        <v>502.15499999999798</v>
      </c>
      <c r="M1359">
        <v>43.630717636263</v>
      </c>
    </row>
    <row r="1360" spans="1:13" hidden="1" x14ac:dyDescent="0.25">
      <c r="A1360" t="str">
        <f t="shared" si="21"/>
        <v>2024_Vic_Kalkee_Fababean_DetailedTOSTOS1VarietyMarneWaterTrtRainFed</v>
      </c>
      <c r="B1360">
        <v>2024039</v>
      </c>
      <c r="C1360" t="s">
        <v>111</v>
      </c>
      <c r="D1360">
        <v>5</v>
      </c>
      <c r="E1360" t="s">
        <v>33</v>
      </c>
      <c r="F1360" t="s">
        <v>127</v>
      </c>
      <c r="G1360" t="s">
        <v>30</v>
      </c>
      <c r="I1360">
        <v>1</v>
      </c>
      <c r="J1360" t="s">
        <v>112</v>
      </c>
      <c r="K1360" s="1">
        <v>45579</v>
      </c>
      <c r="L1360">
        <v>442.287499999999</v>
      </c>
      <c r="M1360">
        <v>43.630717636263</v>
      </c>
    </row>
    <row r="1361" spans="1:25" hidden="1" x14ac:dyDescent="0.25">
      <c r="A1361" t="str">
        <f t="shared" si="21"/>
        <v>2024_Vic_Kalkee_Fababean_DetailedTOSTOS2VarietyMarneWaterTrtRainFed</v>
      </c>
      <c r="B1361">
        <v>2024039</v>
      </c>
      <c r="C1361" t="s">
        <v>111</v>
      </c>
      <c r="D1361">
        <v>5</v>
      </c>
      <c r="E1361" t="s">
        <v>33</v>
      </c>
      <c r="F1361" t="s">
        <v>127</v>
      </c>
      <c r="G1361" t="s">
        <v>30</v>
      </c>
      <c r="I1361">
        <v>2</v>
      </c>
      <c r="J1361" t="s">
        <v>110</v>
      </c>
      <c r="K1361" s="1">
        <v>45593</v>
      </c>
      <c r="L1361">
        <v>402.034999999999</v>
      </c>
      <c r="M1361">
        <v>43.630717636262901</v>
      </c>
    </row>
    <row r="1362" spans="1:25" hidden="1" x14ac:dyDescent="0.25">
      <c r="A1362" t="str">
        <f t="shared" si="21"/>
        <v>2024_Vic_Kalkee_Fababean_DetailedTOSTOS1VarietyNasmaWaterTrtIrrigated</v>
      </c>
      <c r="B1362">
        <v>2024039</v>
      </c>
      <c r="C1362" t="s">
        <v>111</v>
      </c>
      <c r="D1362">
        <v>5</v>
      </c>
      <c r="E1362" t="s">
        <v>33</v>
      </c>
      <c r="F1362" t="s">
        <v>128</v>
      </c>
      <c r="G1362" t="s">
        <v>27</v>
      </c>
      <c r="I1362">
        <v>1</v>
      </c>
      <c r="J1362" t="s">
        <v>112</v>
      </c>
      <c r="K1362" s="1">
        <v>45579</v>
      </c>
      <c r="L1362">
        <v>580.96250000000202</v>
      </c>
      <c r="M1362">
        <v>43.630717636262801</v>
      </c>
    </row>
    <row r="1363" spans="1:25" hidden="1" x14ac:dyDescent="0.25">
      <c r="A1363" t="str">
        <f t="shared" si="21"/>
        <v>2024_Vic_Kalkee_Fababean_DetailedTOSTOS2VarietyNasmaWaterTrtIrrigated</v>
      </c>
      <c r="B1363">
        <v>2024039</v>
      </c>
      <c r="C1363" t="s">
        <v>111</v>
      </c>
      <c r="D1363">
        <v>5</v>
      </c>
      <c r="E1363" t="s">
        <v>33</v>
      </c>
      <c r="F1363" t="s">
        <v>128</v>
      </c>
      <c r="G1363" t="s">
        <v>27</v>
      </c>
      <c r="I1363">
        <v>2</v>
      </c>
      <c r="J1363" t="s">
        <v>110</v>
      </c>
      <c r="K1363" s="1">
        <v>45589</v>
      </c>
      <c r="L1363">
        <v>586.80499999999802</v>
      </c>
      <c r="M1363">
        <v>43.630717636263</v>
      </c>
    </row>
    <row r="1364" spans="1:25" hidden="1" x14ac:dyDescent="0.25">
      <c r="A1364" t="str">
        <f t="shared" si="21"/>
        <v>2024_Vic_Kalkee_Fababean_DetailedTOSTOS1VarietyNasmaWaterTrtRainFed</v>
      </c>
      <c r="B1364">
        <v>2024039</v>
      </c>
      <c r="C1364" t="s">
        <v>111</v>
      </c>
      <c r="D1364">
        <v>5</v>
      </c>
      <c r="E1364" t="s">
        <v>33</v>
      </c>
      <c r="F1364" t="s">
        <v>128</v>
      </c>
      <c r="G1364" t="s">
        <v>30</v>
      </c>
      <c r="I1364">
        <v>1</v>
      </c>
      <c r="J1364" t="s">
        <v>112</v>
      </c>
      <c r="K1364" s="1">
        <v>45574</v>
      </c>
      <c r="L1364">
        <v>425.27249999999901</v>
      </c>
      <c r="M1364">
        <v>43.630717636263</v>
      </c>
    </row>
    <row r="1365" spans="1:25" hidden="1" x14ac:dyDescent="0.25">
      <c r="A1365" t="str">
        <f t="shared" si="21"/>
        <v>2024_Vic_Kalkee_Fababean_DetailedTOSTOS2VarietyNasmaWaterTrtRainFed</v>
      </c>
      <c r="B1365">
        <v>2024039</v>
      </c>
      <c r="C1365" t="s">
        <v>111</v>
      </c>
      <c r="D1365">
        <v>5</v>
      </c>
      <c r="E1365" t="s">
        <v>33</v>
      </c>
      <c r="F1365" t="s">
        <v>128</v>
      </c>
      <c r="G1365" t="s">
        <v>30</v>
      </c>
      <c r="I1365">
        <v>2</v>
      </c>
      <c r="J1365" t="s">
        <v>110</v>
      </c>
      <c r="K1365" s="1">
        <v>45589</v>
      </c>
      <c r="L1365">
        <v>452.344999999999</v>
      </c>
      <c r="M1365">
        <v>43.630717636262901</v>
      </c>
    </row>
    <row r="1366" spans="1:25" hidden="1" x14ac:dyDescent="0.25">
      <c r="A1366" t="str">
        <f t="shared" si="21"/>
        <v>2024_Vic_Kalkee_Fababean_DetailedTOSTOS1VarietySamiraWaterTrtIrrigated</v>
      </c>
      <c r="B1366">
        <v>2024039</v>
      </c>
      <c r="C1366" t="s">
        <v>111</v>
      </c>
      <c r="D1366">
        <v>5</v>
      </c>
      <c r="E1366" t="s">
        <v>33</v>
      </c>
      <c r="F1366" t="s">
        <v>129</v>
      </c>
      <c r="G1366" t="s">
        <v>27</v>
      </c>
      <c r="I1366">
        <v>1</v>
      </c>
      <c r="J1366" t="s">
        <v>112</v>
      </c>
      <c r="K1366" s="1">
        <v>45579</v>
      </c>
      <c r="L1366">
        <v>511.03000000000202</v>
      </c>
      <c r="M1366">
        <v>43.630717636262801</v>
      </c>
    </row>
    <row r="1367" spans="1:25" hidden="1" x14ac:dyDescent="0.25">
      <c r="A1367" t="str">
        <f t="shared" si="21"/>
        <v>2024_Vic_Kalkee_Fababean_DetailedTOSTOS2VarietySamiraWaterTrtIrrigated</v>
      </c>
      <c r="B1367">
        <v>2024039</v>
      </c>
      <c r="C1367" t="s">
        <v>111</v>
      </c>
      <c r="D1367">
        <v>5</v>
      </c>
      <c r="E1367" t="s">
        <v>33</v>
      </c>
      <c r="F1367" t="s">
        <v>129</v>
      </c>
      <c r="G1367" t="s">
        <v>27</v>
      </c>
      <c r="I1367">
        <v>2</v>
      </c>
      <c r="J1367" t="s">
        <v>110</v>
      </c>
      <c r="K1367" s="1">
        <v>45598</v>
      </c>
      <c r="L1367">
        <v>508.634999999998</v>
      </c>
      <c r="M1367">
        <v>43.630717636262901</v>
      </c>
    </row>
    <row r="1368" spans="1:25" hidden="1" x14ac:dyDescent="0.25">
      <c r="A1368" t="str">
        <f t="shared" si="21"/>
        <v>2024_Vic_Kalkee_Fababean_DetailedTOSTOS1VarietySamiraWaterTrtRainFed</v>
      </c>
      <c r="B1368">
        <v>2024039</v>
      </c>
      <c r="C1368" t="s">
        <v>111</v>
      </c>
      <c r="D1368">
        <v>5</v>
      </c>
      <c r="E1368" t="s">
        <v>33</v>
      </c>
      <c r="F1368" t="s">
        <v>129</v>
      </c>
      <c r="G1368" t="s">
        <v>30</v>
      </c>
      <c r="I1368">
        <v>1</v>
      </c>
      <c r="J1368" t="s">
        <v>112</v>
      </c>
      <c r="K1368" s="1">
        <v>45579</v>
      </c>
      <c r="L1368">
        <v>484.57749999999999</v>
      </c>
      <c r="M1368">
        <v>43.630717636263</v>
      </c>
    </row>
    <row r="1369" spans="1:25" hidden="1" x14ac:dyDescent="0.25">
      <c r="A1369" t="str">
        <f t="shared" si="21"/>
        <v>2024_Vic_Kalkee_Fababean_DetailedTOSTOS2VarietySamiraWaterTrtRainFed</v>
      </c>
      <c r="B1369">
        <v>2024039</v>
      </c>
      <c r="C1369" t="s">
        <v>111</v>
      </c>
      <c r="D1369">
        <v>5</v>
      </c>
      <c r="E1369" t="s">
        <v>33</v>
      </c>
      <c r="F1369" t="s">
        <v>129</v>
      </c>
      <c r="G1369" t="s">
        <v>30</v>
      </c>
      <c r="I1369">
        <v>2</v>
      </c>
      <c r="J1369" t="s">
        <v>110</v>
      </c>
      <c r="K1369" s="1">
        <v>45593</v>
      </c>
      <c r="L1369">
        <v>402.50249999999897</v>
      </c>
      <c r="M1369">
        <v>43.630717636262901</v>
      </c>
    </row>
    <row r="1370" spans="1:25" hidden="1" x14ac:dyDescent="0.25">
      <c r="A1370" t="str">
        <f t="shared" si="21"/>
        <v>2024_Vic_Kalkee_Fababean_DetailedTOSTOS1VarietyAmberleyWaterTrtIrrigated</v>
      </c>
      <c r="B1370">
        <v>2024039</v>
      </c>
      <c r="C1370" t="s">
        <v>111</v>
      </c>
      <c r="D1370">
        <v>6</v>
      </c>
      <c r="E1370" t="s">
        <v>34</v>
      </c>
      <c r="F1370" t="s">
        <v>126</v>
      </c>
      <c r="G1370" t="s">
        <v>27</v>
      </c>
      <c r="I1370">
        <v>1</v>
      </c>
      <c r="J1370" t="s">
        <v>112</v>
      </c>
      <c r="K1370" s="1">
        <v>45621</v>
      </c>
      <c r="L1370">
        <v>675.88250000000096</v>
      </c>
      <c r="M1370">
        <v>45.594589738822499</v>
      </c>
      <c r="N1370">
        <v>0.51300000000000001</v>
      </c>
      <c r="O1370">
        <v>2.3E-2</v>
      </c>
      <c r="P1370">
        <v>305</v>
      </c>
      <c r="Q1370">
        <v>32</v>
      </c>
      <c r="T1370">
        <v>719</v>
      </c>
      <c r="U1370">
        <v>78</v>
      </c>
      <c r="X1370">
        <v>346</v>
      </c>
      <c r="Y1370">
        <v>23</v>
      </c>
    </row>
    <row r="1371" spans="1:25" hidden="1" x14ac:dyDescent="0.25">
      <c r="A1371" t="str">
        <f t="shared" si="21"/>
        <v>2024_Vic_Kalkee_Fababean_DetailedTOSTOS2VarietyAmberleyWaterTrtIrrigated</v>
      </c>
      <c r="B1371">
        <v>2024039</v>
      </c>
      <c r="C1371" t="s">
        <v>111</v>
      </c>
      <c r="D1371">
        <v>6</v>
      </c>
      <c r="E1371" t="s">
        <v>34</v>
      </c>
      <c r="F1371" t="s">
        <v>126</v>
      </c>
      <c r="G1371" t="s">
        <v>27</v>
      </c>
      <c r="I1371">
        <v>2</v>
      </c>
      <c r="J1371" t="s">
        <v>110</v>
      </c>
      <c r="K1371" s="1">
        <v>45625</v>
      </c>
      <c r="L1371">
        <v>525.49249999998699</v>
      </c>
      <c r="M1371">
        <v>45.594589738822798</v>
      </c>
      <c r="N1371">
        <v>0.42</v>
      </c>
      <c r="O1371">
        <v>2.3E-2</v>
      </c>
      <c r="P1371">
        <v>323</v>
      </c>
      <c r="Q1371">
        <v>37</v>
      </c>
      <c r="T1371">
        <v>651</v>
      </c>
      <c r="U1371">
        <v>78</v>
      </c>
      <c r="X1371">
        <v>222</v>
      </c>
      <c r="Y1371">
        <v>23</v>
      </c>
    </row>
    <row r="1372" spans="1:25" hidden="1" x14ac:dyDescent="0.25">
      <c r="A1372" t="str">
        <f t="shared" si="21"/>
        <v>2024_Vic_Kalkee_Fababean_DetailedTOSTOS1VarietyAmberleyWaterTrtRainFed</v>
      </c>
      <c r="B1372">
        <v>2024039</v>
      </c>
      <c r="C1372" t="s">
        <v>111</v>
      </c>
      <c r="D1372">
        <v>6</v>
      </c>
      <c r="E1372" t="s">
        <v>34</v>
      </c>
      <c r="F1372" t="s">
        <v>126</v>
      </c>
      <c r="G1372" t="s">
        <v>30</v>
      </c>
      <c r="I1372">
        <v>1</v>
      </c>
      <c r="J1372" t="s">
        <v>112</v>
      </c>
      <c r="K1372" s="1">
        <v>45621</v>
      </c>
      <c r="L1372">
        <v>403.80999999999102</v>
      </c>
      <c r="M1372">
        <v>45.594589738822897</v>
      </c>
      <c r="N1372">
        <v>0.64900000000000002</v>
      </c>
      <c r="O1372">
        <v>2.3E-2</v>
      </c>
      <c r="P1372">
        <v>215</v>
      </c>
      <c r="Q1372">
        <v>32</v>
      </c>
      <c r="T1372">
        <v>540</v>
      </c>
      <c r="U1372">
        <v>78</v>
      </c>
      <c r="X1372">
        <v>260</v>
      </c>
      <c r="Y1372">
        <v>23</v>
      </c>
    </row>
    <row r="1373" spans="1:25" hidden="1" x14ac:dyDescent="0.25">
      <c r="A1373" t="str">
        <f t="shared" si="21"/>
        <v>2024_Vic_Kalkee_Fababean_DetailedTOSTOS2VarietyAmberleyWaterTrtRainFed</v>
      </c>
      <c r="B1373">
        <v>2024039</v>
      </c>
      <c r="C1373" t="s">
        <v>111</v>
      </c>
      <c r="D1373">
        <v>6</v>
      </c>
      <c r="E1373" t="s">
        <v>34</v>
      </c>
      <c r="F1373" t="s">
        <v>126</v>
      </c>
      <c r="G1373" t="s">
        <v>30</v>
      </c>
      <c r="I1373">
        <v>2</v>
      </c>
      <c r="J1373" t="s">
        <v>110</v>
      </c>
      <c r="K1373" s="1">
        <v>45621</v>
      </c>
      <c r="L1373">
        <v>379.92000000000098</v>
      </c>
      <c r="M1373">
        <v>45.594589738822997</v>
      </c>
      <c r="N1373">
        <v>0.55200000000000005</v>
      </c>
      <c r="O1373">
        <v>2.3E-2</v>
      </c>
      <c r="P1373">
        <v>209</v>
      </c>
      <c r="Q1373">
        <v>37</v>
      </c>
      <c r="T1373">
        <v>479</v>
      </c>
      <c r="U1373">
        <v>78</v>
      </c>
      <c r="X1373">
        <v>209</v>
      </c>
      <c r="Y1373">
        <v>23</v>
      </c>
    </row>
    <row r="1374" spans="1:25" hidden="1" x14ac:dyDescent="0.25">
      <c r="A1374" t="str">
        <f t="shared" si="21"/>
        <v>2024_Vic_Kalkee_Fababean_DetailedTOSTOS1VarietyMarneWaterTrtIrrigated</v>
      </c>
      <c r="B1374">
        <v>2024039</v>
      </c>
      <c r="C1374" t="s">
        <v>111</v>
      </c>
      <c r="D1374">
        <v>6</v>
      </c>
      <c r="E1374" t="s">
        <v>34</v>
      </c>
      <c r="F1374" t="s">
        <v>127</v>
      </c>
      <c r="G1374" t="s">
        <v>27</v>
      </c>
      <c r="I1374">
        <v>1</v>
      </c>
      <c r="J1374" t="s">
        <v>112</v>
      </c>
      <c r="K1374" s="1">
        <v>45621</v>
      </c>
      <c r="L1374">
        <v>623.65250000000697</v>
      </c>
      <c r="M1374">
        <v>45.594589738822997</v>
      </c>
      <c r="N1374">
        <v>0.56499999999999995</v>
      </c>
      <c r="O1374">
        <v>2.3E-2</v>
      </c>
      <c r="P1374">
        <v>264</v>
      </c>
      <c r="Q1374">
        <v>32</v>
      </c>
      <c r="T1374">
        <v>730</v>
      </c>
      <c r="U1374">
        <v>78</v>
      </c>
      <c r="X1374">
        <v>352</v>
      </c>
      <c r="Y1374">
        <v>23</v>
      </c>
    </row>
    <row r="1375" spans="1:25" hidden="1" x14ac:dyDescent="0.25">
      <c r="A1375" t="str">
        <f t="shared" si="21"/>
        <v>2024_Vic_Kalkee_Fababean_DetailedTOSTOS2VarietyMarneWaterTrtIrrigated</v>
      </c>
      <c r="B1375">
        <v>2024039</v>
      </c>
      <c r="C1375" t="s">
        <v>111</v>
      </c>
      <c r="D1375">
        <v>6</v>
      </c>
      <c r="E1375" t="s">
        <v>34</v>
      </c>
      <c r="F1375" t="s">
        <v>127</v>
      </c>
      <c r="G1375" t="s">
        <v>27</v>
      </c>
      <c r="I1375">
        <v>2</v>
      </c>
      <c r="J1375" t="s">
        <v>110</v>
      </c>
      <c r="K1375" s="1">
        <v>45625</v>
      </c>
      <c r="L1375">
        <v>537.34749999999804</v>
      </c>
      <c r="M1375">
        <v>45.594589738822997</v>
      </c>
      <c r="N1375">
        <v>0.434</v>
      </c>
      <c r="O1375">
        <v>2.3E-2</v>
      </c>
      <c r="P1375">
        <v>322</v>
      </c>
      <c r="Q1375">
        <v>37</v>
      </c>
      <c r="T1375">
        <v>720</v>
      </c>
      <c r="U1375">
        <v>78</v>
      </c>
      <c r="X1375">
        <v>234</v>
      </c>
      <c r="Y1375">
        <v>23</v>
      </c>
    </row>
    <row r="1376" spans="1:25" hidden="1" x14ac:dyDescent="0.25">
      <c r="A1376" t="str">
        <f t="shared" si="21"/>
        <v>2024_Vic_Kalkee_Fababean_DetailedTOSTOS1VarietyMarneWaterTrtRainFed</v>
      </c>
      <c r="B1376">
        <v>2024039</v>
      </c>
      <c r="C1376" t="s">
        <v>111</v>
      </c>
      <c r="D1376">
        <v>6</v>
      </c>
      <c r="E1376" t="s">
        <v>34</v>
      </c>
      <c r="F1376" t="s">
        <v>127</v>
      </c>
      <c r="G1376" t="s">
        <v>30</v>
      </c>
      <c r="I1376">
        <v>1</v>
      </c>
      <c r="J1376" t="s">
        <v>112</v>
      </c>
      <c r="K1376" s="1">
        <v>45621</v>
      </c>
      <c r="L1376">
        <v>421.24250000000001</v>
      </c>
      <c r="M1376">
        <v>45.594589738822997</v>
      </c>
      <c r="N1376">
        <v>0.69399999999999995</v>
      </c>
      <c r="O1376">
        <v>2.3E-2</v>
      </c>
      <c r="P1376">
        <v>221</v>
      </c>
      <c r="Q1376">
        <v>32</v>
      </c>
      <c r="T1376">
        <v>571</v>
      </c>
      <c r="U1376">
        <v>78</v>
      </c>
      <c r="X1376">
        <v>291</v>
      </c>
      <c r="Y1376">
        <v>23</v>
      </c>
    </row>
    <row r="1377" spans="1:25" hidden="1" x14ac:dyDescent="0.25">
      <c r="A1377" t="str">
        <f t="shared" si="21"/>
        <v>2024_Vic_Kalkee_Fababean_DetailedTOSTOS2VarietyMarneWaterTrtRainFed</v>
      </c>
      <c r="B1377">
        <v>2024039</v>
      </c>
      <c r="C1377" t="s">
        <v>111</v>
      </c>
      <c r="D1377">
        <v>6</v>
      </c>
      <c r="E1377" t="s">
        <v>34</v>
      </c>
      <c r="F1377" t="s">
        <v>127</v>
      </c>
      <c r="G1377" t="s">
        <v>30</v>
      </c>
      <c r="I1377">
        <v>2</v>
      </c>
      <c r="J1377" t="s">
        <v>110</v>
      </c>
      <c r="K1377" s="1">
        <v>45621</v>
      </c>
      <c r="L1377">
        <v>338.76499999999999</v>
      </c>
      <c r="M1377">
        <v>45.594589738822997</v>
      </c>
      <c r="N1377">
        <v>0.55500000000000005</v>
      </c>
      <c r="O1377">
        <v>2.3E-2</v>
      </c>
      <c r="P1377">
        <v>277</v>
      </c>
      <c r="Q1377">
        <v>37</v>
      </c>
      <c r="T1377">
        <v>560</v>
      </c>
      <c r="U1377">
        <v>78</v>
      </c>
      <c r="X1377">
        <v>189</v>
      </c>
      <c r="Y1377">
        <v>23</v>
      </c>
    </row>
    <row r="1378" spans="1:25" hidden="1" x14ac:dyDescent="0.25">
      <c r="A1378" t="str">
        <f t="shared" si="21"/>
        <v>2024_Vic_Kalkee_Fababean_DetailedTOSTOS1VarietyNasmaWaterTrtIrrigated</v>
      </c>
      <c r="B1378">
        <v>2024039</v>
      </c>
      <c r="C1378" t="s">
        <v>111</v>
      </c>
      <c r="D1378">
        <v>6</v>
      </c>
      <c r="E1378" t="s">
        <v>34</v>
      </c>
      <c r="F1378" t="s">
        <v>128</v>
      </c>
      <c r="G1378" t="s">
        <v>27</v>
      </c>
      <c r="I1378">
        <v>1</v>
      </c>
      <c r="J1378" t="s">
        <v>112</v>
      </c>
      <c r="K1378" s="1">
        <v>45621</v>
      </c>
      <c r="L1378">
        <v>667.88750000000698</v>
      </c>
      <c r="M1378">
        <v>45.594589738822897</v>
      </c>
      <c r="N1378">
        <v>0.54</v>
      </c>
      <c r="O1378">
        <v>2.5999999999999999E-2</v>
      </c>
      <c r="P1378">
        <v>265</v>
      </c>
      <c r="Q1378">
        <v>32</v>
      </c>
      <c r="T1378">
        <v>730</v>
      </c>
      <c r="U1378">
        <v>78</v>
      </c>
      <c r="X1378">
        <v>313</v>
      </c>
      <c r="Y1378">
        <v>26</v>
      </c>
    </row>
    <row r="1379" spans="1:25" hidden="1" x14ac:dyDescent="0.25">
      <c r="A1379" t="str">
        <f t="shared" si="21"/>
        <v>2024_Vic_Kalkee_Fababean_DetailedTOSTOS2VarietyNasmaWaterTrtIrrigated</v>
      </c>
      <c r="B1379">
        <v>2024039</v>
      </c>
      <c r="C1379" t="s">
        <v>111</v>
      </c>
      <c r="D1379">
        <v>6</v>
      </c>
      <c r="E1379" t="s">
        <v>34</v>
      </c>
      <c r="F1379" t="s">
        <v>128</v>
      </c>
      <c r="G1379" t="s">
        <v>27</v>
      </c>
      <c r="I1379">
        <v>2</v>
      </c>
      <c r="J1379" t="s">
        <v>110</v>
      </c>
      <c r="K1379" s="1">
        <v>45625</v>
      </c>
      <c r="L1379">
        <v>481.65249999999702</v>
      </c>
      <c r="M1379">
        <v>45.594589738822997</v>
      </c>
      <c r="N1379">
        <v>0.49399999999999999</v>
      </c>
      <c r="O1379">
        <v>2.3E-2</v>
      </c>
      <c r="P1379">
        <v>269</v>
      </c>
      <c r="Q1379">
        <v>37</v>
      </c>
      <c r="T1379">
        <v>702</v>
      </c>
      <c r="U1379">
        <v>78</v>
      </c>
      <c r="X1379">
        <v>237</v>
      </c>
      <c r="Y1379">
        <v>23</v>
      </c>
    </row>
    <row r="1380" spans="1:25" hidden="1" x14ac:dyDescent="0.25">
      <c r="A1380" t="str">
        <f t="shared" si="21"/>
        <v>2024_Vic_Kalkee_Fababean_DetailedTOSTOS1VarietyNasmaWaterTrtRainFed</v>
      </c>
      <c r="B1380">
        <v>2024039</v>
      </c>
      <c r="C1380" t="s">
        <v>111</v>
      </c>
      <c r="D1380">
        <v>6</v>
      </c>
      <c r="E1380" t="s">
        <v>34</v>
      </c>
      <c r="F1380" t="s">
        <v>128</v>
      </c>
      <c r="G1380" t="s">
        <v>30</v>
      </c>
      <c r="I1380">
        <v>1</v>
      </c>
      <c r="J1380" t="s">
        <v>112</v>
      </c>
      <c r="K1380" s="1">
        <v>45621</v>
      </c>
      <c r="L1380">
        <v>431.25499999999897</v>
      </c>
      <c r="M1380">
        <v>45.594589738822997</v>
      </c>
      <c r="N1380">
        <v>0.58499999999999996</v>
      </c>
      <c r="O1380">
        <v>2.3E-2</v>
      </c>
      <c r="P1380">
        <v>188</v>
      </c>
      <c r="Q1380">
        <v>32</v>
      </c>
      <c r="T1380">
        <v>519</v>
      </c>
      <c r="U1380">
        <v>78</v>
      </c>
      <c r="X1380">
        <v>252</v>
      </c>
      <c r="Y1380">
        <v>23</v>
      </c>
    </row>
    <row r="1381" spans="1:25" hidden="1" x14ac:dyDescent="0.25">
      <c r="A1381" t="str">
        <f t="shared" si="21"/>
        <v>2024_Vic_Kalkee_Fababean_DetailedTOSTOS2VarietyNasmaWaterTrtRainFed</v>
      </c>
      <c r="B1381">
        <v>2024039</v>
      </c>
      <c r="C1381" t="s">
        <v>111</v>
      </c>
      <c r="D1381">
        <v>6</v>
      </c>
      <c r="E1381" t="s">
        <v>34</v>
      </c>
      <c r="F1381" t="s">
        <v>128</v>
      </c>
      <c r="G1381" t="s">
        <v>30</v>
      </c>
      <c r="I1381">
        <v>2</v>
      </c>
      <c r="J1381" t="s">
        <v>110</v>
      </c>
      <c r="K1381" s="1">
        <v>45621</v>
      </c>
      <c r="L1381">
        <v>345.11250000000001</v>
      </c>
      <c r="M1381">
        <v>45.594589738822997</v>
      </c>
      <c r="N1381">
        <v>0.54500000000000004</v>
      </c>
      <c r="O1381">
        <v>2.3E-2</v>
      </c>
      <c r="P1381">
        <v>163</v>
      </c>
      <c r="Q1381">
        <v>41</v>
      </c>
      <c r="T1381">
        <v>371</v>
      </c>
      <c r="U1381">
        <v>90</v>
      </c>
      <c r="X1381">
        <v>189</v>
      </c>
      <c r="Y1381">
        <v>23</v>
      </c>
    </row>
    <row r="1382" spans="1:25" hidden="1" x14ac:dyDescent="0.25">
      <c r="A1382" t="str">
        <f t="shared" si="21"/>
        <v>2024_Vic_Kalkee_Fababean_DetailedTOSTOS1VarietySamiraWaterTrtIrrigated</v>
      </c>
      <c r="B1382">
        <v>2024039</v>
      </c>
      <c r="C1382" t="s">
        <v>111</v>
      </c>
      <c r="D1382">
        <v>6</v>
      </c>
      <c r="E1382" t="s">
        <v>34</v>
      </c>
      <c r="F1382" t="s">
        <v>129</v>
      </c>
      <c r="G1382" t="s">
        <v>27</v>
      </c>
      <c r="I1382">
        <v>1</v>
      </c>
      <c r="J1382" t="s">
        <v>112</v>
      </c>
      <c r="K1382" s="1">
        <v>45621</v>
      </c>
      <c r="L1382">
        <v>676.89750000000402</v>
      </c>
      <c r="M1382">
        <v>45.594589738822997</v>
      </c>
      <c r="N1382">
        <v>0.53800000000000003</v>
      </c>
      <c r="O1382">
        <v>2.3E-2</v>
      </c>
      <c r="P1382">
        <v>250</v>
      </c>
      <c r="Q1382">
        <v>32</v>
      </c>
      <c r="T1382">
        <v>742</v>
      </c>
      <c r="U1382">
        <v>78</v>
      </c>
      <c r="X1382">
        <v>365</v>
      </c>
      <c r="Y1382">
        <v>23</v>
      </c>
    </row>
    <row r="1383" spans="1:25" hidden="1" x14ac:dyDescent="0.25">
      <c r="A1383" t="str">
        <f t="shared" si="21"/>
        <v>2024_Vic_Kalkee_Fababean_DetailedTOSTOS2VarietySamiraWaterTrtIrrigated</v>
      </c>
      <c r="B1383">
        <v>2024039</v>
      </c>
      <c r="C1383" t="s">
        <v>111</v>
      </c>
      <c r="D1383">
        <v>6</v>
      </c>
      <c r="E1383" t="s">
        <v>34</v>
      </c>
      <c r="F1383" t="s">
        <v>129</v>
      </c>
      <c r="G1383" t="s">
        <v>27</v>
      </c>
      <c r="I1383">
        <v>2</v>
      </c>
      <c r="J1383" t="s">
        <v>110</v>
      </c>
      <c r="K1383" s="1">
        <v>45625</v>
      </c>
      <c r="L1383">
        <v>448.20499999999703</v>
      </c>
      <c r="M1383">
        <v>45.594589738822997</v>
      </c>
      <c r="N1383">
        <v>0.63500000000000001</v>
      </c>
      <c r="O1383">
        <v>2.5999999999999999E-2</v>
      </c>
      <c r="P1383">
        <v>243</v>
      </c>
      <c r="Q1383">
        <v>37</v>
      </c>
      <c r="T1383">
        <v>631</v>
      </c>
      <c r="U1383">
        <v>78</v>
      </c>
      <c r="X1383">
        <v>253</v>
      </c>
      <c r="Y1383">
        <v>23</v>
      </c>
    </row>
    <row r="1384" spans="1:25" hidden="1" x14ac:dyDescent="0.25">
      <c r="A1384" t="str">
        <f t="shared" si="21"/>
        <v>2024_Vic_Kalkee_Fababean_DetailedTOSTOS1VarietySamiraWaterTrtRainFed</v>
      </c>
      <c r="B1384">
        <v>2024039</v>
      </c>
      <c r="C1384" t="s">
        <v>111</v>
      </c>
      <c r="D1384">
        <v>6</v>
      </c>
      <c r="E1384" t="s">
        <v>34</v>
      </c>
      <c r="F1384" t="s">
        <v>129</v>
      </c>
      <c r="G1384" t="s">
        <v>30</v>
      </c>
      <c r="I1384">
        <v>1</v>
      </c>
      <c r="J1384" t="s">
        <v>112</v>
      </c>
      <c r="K1384" s="1">
        <v>45621</v>
      </c>
      <c r="L1384">
        <v>463.284999999999</v>
      </c>
      <c r="M1384">
        <v>45.594589738822997</v>
      </c>
      <c r="N1384">
        <v>0.44</v>
      </c>
      <c r="O1384">
        <v>2.5999999999999999E-2</v>
      </c>
      <c r="P1384">
        <v>212</v>
      </c>
      <c r="Q1384">
        <v>32</v>
      </c>
      <c r="T1384">
        <v>593</v>
      </c>
      <c r="U1384">
        <v>78</v>
      </c>
      <c r="X1384">
        <v>229</v>
      </c>
      <c r="Y1384">
        <v>23</v>
      </c>
    </row>
    <row r="1385" spans="1:25" hidden="1" x14ac:dyDescent="0.25">
      <c r="A1385" t="str">
        <f t="shared" si="21"/>
        <v>2024_Vic_Kalkee_Fababean_DetailedTOSTOS2VarietySamiraWaterTrtRainFed</v>
      </c>
      <c r="B1385">
        <v>2024039</v>
      </c>
      <c r="C1385" t="s">
        <v>111</v>
      </c>
      <c r="D1385">
        <v>6</v>
      </c>
      <c r="E1385" t="s">
        <v>34</v>
      </c>
      <c r="F1385" t="s">
        <v>129</v>
      </c>
      <c r="G1385" t="s">
        <v>30</v>
      </c>
      <c r="I1385">
        <v>2</v>
      </c>
      <c r="J1385" t="s">
        <v>110</v>
      </c>
      <c r="K1385" s="1">
        <v>45621</v>
      </c>
      <c r="L1385">
        <v>381.255</v>
      </c>
      <c r="M1385">
        <v>45.594589738822997</v>
      </c>
      <c r="N1385">
        <v>0.54900000000000004</v>
      </c>
      <c r="O1385">
        <v>2.3E-2</v>
      </c>
      <c r="P1385">
        <v>176</v>
      </c>
      <c r="Q1385">
        <v>37</v>
      </c>
      <c r="T1385">
        <v>468</v>
      </c>
      <c r="U1385">
        <v>78</v>
      </c>
      <c r="X1385">
        <v>211</v>
      </c>
      <c r="Y1385">
        <v>23</v>
      </c>
    </row>
    <row r="1386" spans="1:25" hidden="1" x14ac:dyDescent="0.25">
      <c r="A1386" t="str">
        <f t="shared" si="21"/>
        <v>2024_WA_Bolgart_Chickpea_DetailedTOSTOS1VarietyCBA_CaptainWaterTrtIrrigated</v>
      </c>
      <c r="B1386">
        <v>2024040</v>
      </c>
      <c r="C1386" t="s">
        <v>113</v>
      </c>
      <c r="D1386">
        <v>2</v>
      </c>
      <c r="E1386" t="s">
        <v>25</v>
      </c>
      <c r="F1386" t="s">
        <v>26</v>
      </c>
      <c r="G1386" t="s">
        <v>27</v>
      </c>
      <c r="I1386">
        <v>1</v>
      </c>
      <c r="J1386" t="s">
        <v>109</v>
      </c>
      <c r="K1386" s="1">
        <v>45467</v>
      </c>
      <c r="L1386">
        <v>9.4</v>
      </c>
      <c r="M1386">
        <v>1.9</v>
      </c>
    </row>
    <row r="1387" spans="1:25" hidden="1" x14ac:dyDescent="0.25">
      <c r="A1387" t="str">
        <f t="shared" si="21"/>
        <v>2024_WA_Bolgart_Chickpea_DetailedTOSTOS2VarietyCBA_CaptainWaterTrtIrrigated</v>
      </c>
      <c r="B1387">
        <v>2024040</v>
      </c>
      <c r="C1387" t="s">
        <v>113</v>
      </c>
      <c r="D1387">
        <v>2</v>
      </c>
      <c r="E1387" t="s">
        <v>25</v>
      </c>
      <c r="F1387" t="s">
        <v>26</v>
      </c>
      <c r="G1387" t="s">
        <v>27</v>
      </c>
      <c r="I1387">
        <v>2</v>
      </c>
      <c r="J1387" t="s">
        <v>114</v>
      </c>
      <c r="K1387" s="1">
        <v>45503</v>
      </c>
      <c r="L1387">
        <v>7.1</v>
      </c>
      <c r="M1387">
        <v>1.9</v>
      </c>
    </row>
    <row r="1388" spans="1:25" hidden="1" x14ac:dyDescent="0.25">
      <c r="A1388" t="str">
        <f t="shared" si="21"/>
        <v>2024_WA_Bolgart_Chickpea_DetailedTOSTOS1VarietyCBA_CaptainWaterTrtRainFed</v>
      </c>
      <c r="B1388">
        <v>2024040</v>
      </c>
      <c r="C1388" t="s">
        <v>113</v>
      </c>
      <c r="D1388">
        <v>2</v>
      </c>
      <c r="E1388" t="s">
        <v>25</v>
      </c>
      <c r="F1388" t="s">
        <v>26</v>
      </c>
      <c r="G1388" t="s">
        <v>30</v>
      </c>
      <c r="I1388">
        <v>1</v>
      </c>
      <c r="J1388" t="s">
        <v>109</v>
      </c>
      <c r="K1388" s="1">
        <v>45467</v>
      </c>
      <c r="L1388">
        <v>10.1</v>
      </c>
      <c r="M1388">
        <v>1.9</v>
      </c>
    </row>
    <row r="1389" spans="1:25" hidden="1" x14ac:dyDescent="0.25">
      <c r="A1389" t="str">
        <f t="shared" si="21"/>
        <v>2024_WA_Bolgart_Chickpea_DetailedTOSTOS2VarietyCBA_CaptainWaterTrtRainFed</v>
      </c>
      <c r="B1389">
        <v>2024040</v>
      </c>
      <c r="C1389" t="s">
        <v>113</v>
      </c>
      <c r="D1389">
        <v>2</v>
      </c>
      <c r="E1389" t="s">
        <v>25</v>
      </c>
      <c r="F1389" t="s">
        <v>26</v>
      </c>
      <c r="G1389" t="s">
        <v>30</v>
      </c>
      <c r="I1389">
        <v>2</v>
      </c>
      <c r="J1389" t="s">
        <v>114</v>
      </c>
      <c r="K1389" s="1">
        <v>45503</v>
      </c>
      <c r="L1389">
        <v>7.7</v>
      </c>
      <c r="M1389">
        <v>1.8</v>
      </c>
    </row>
    <row r="1390" spans="1:25" hidden="1" x14ac:dyDescent="0.25">
      <c r="A1390" t="str">
        <f t="shared" si="21"/>
        <v>2024_WA_Bolgart_Chickpea_DetailedTOSTOS1VarietyDrummondWaterTrtIrrigated</v>
      </c>
      <c r="B1390">
        <v>2024040</v>
      </c>
      <c r="C1390" t="s">
        <v>113</v>
      </c>
      <c r="D1390">
        <v>2</v>
      </c>
      <c r="E1390" t="s">
        <v>25</v>
      </c>
      <c r="F1390" t="s">
        <v>123</v>
      </c>
      <c r="G1390" t="s">
        <v>27</v>
      </c>
      <c r="I1390">
        <v>1</v>
      </c>
      <c r="J1390" t="s">
        <v>109</v>
      </c>
      <c r="K1390" s="1">
        <v>45467</v>
      </c>
      <c r="L1390">
        <v>8.6</v>
      </c>
      <c r="M1390">
        <v>1.9</v>
      </c>
    </row>
    <row r="1391" spans="1:25" hidden="1" x14ac:dyDescent="0.25">
      <c r="A1391" t="str">
        <f t="shared" si="21"/>
        <v>2024_WA_Bolgart_Chickpea_DetailedTOSTOS2VarietyDrummondWaterTrtIrrigated</v>
      </c>
      <c r="B1391">
        <v>2024040</v>
      </c>
      <c r="C1391" t="s">
        <v>113</v>
      </c>
      <c r="D1391">
        <v>2</v>
      </c>
      <c r="E1391" t="s">
        <v>25</v>
      </c>
      <c r="F1391" t="s">
        <v>123</v>
      </c>
      <c r="G1391" t="s">
        <v>27</v>
      </c>
      <c r="I1391">
        <v>2</v>
      </c>
      <c r="J1391" t="s">
        <v>114</v>
      </c>
      <c r="K1391" s="1">
        <v>45503</v>
      </c>
      <c r="L1391">
        <v>8.6</v>
      </c>
      <c r="M1391">
        <v>1.9</v>
      </c>
    </row>
    <row r="1392" spans="1:25" hidden="1" x14ac:dyDescent="0.25">
      <c r="A1392" t="str">
        <f t="shared" si="21"/>
        <v>2024_WA_Bolgart_Chickpea_DetailedTOSTOS1VarietyDrummondWaterTrtRainFed</v>
      </c>
      <c r="B1392">
        <v>2024040</v>
      </c>
      <c r="C1392" t="s">
        <v>113</v>
      </c>
      <c r="D1392">
        <v>2</v>
      </c>
      <c r="E1392" t="s">
        <v>25</v>
      </c>
      <c r="F1392" t="s">
        <v>123</v>
      </c>
      <c r="G1392" t="s">
        <v>30</v>
      </c>
      <c r="I1392">
        <v>1</v>
      </c>
      <c r="J1392" t="s">
        <v>109</v>
      </c>
      <c r="K1392" s="1">
        <v>45467</v>
      </c>
      <c r="L1392">
        <v>8.5</v>
      </c>
      <c r="M1392">
        <v>1.9</v>
      </c>
    </row>
    <row r="1393" spans="1:13" hidden="1" x14ac:dyDescent="0.25">
      <c r="A1393" t="str">
        <f t="shared" si="21"/>
        <v>2024_WA_Bolgart_Chickpea_DetailedTOSTOS2VarietyDrummondWaterTrtRainFed</v>
      </c>
      <c r="B1393">
        <v>2024040</v>
      </c>
      <c r="C1393" t="s">
        <v>113</v>
      </c>
      <c r="D1393">
        <v>2</v>
      </c>
      <c r="E1393" t="s">
        <v>25</v>
      </c>
      <c r="F1393" t="s">
        <v>123</v>
      </c>
      <c r="G1393" t="s">
        <v>30</v>
      </c>
      <c r="I1393">
        <v>2</v>
      </c>
      <c r="J1393" t="s">
        <v>114</v>
      </c>
      <c r="K1393" s="1">
        <v>45503</v>
      </c>
      <c r="L1393">
        <v>6.7</v>
      </c>
      <c r="M1393">
        <v>1.9</v>
      </c>
    </row>
    <row r="1394" spans="1:13" hidden="1" x14ac:dyDescent="0.25">
      <c r="A1394" t="str">
        <f t="shared" si="21"/>
        <v>2024_WA_Bolgart_Chickpea_DetailedTOSTOS1VarietyHatTrickWaterTrtIrrigated</v>
      </c>
      <c r="B1394">
        <v>2024040</v>
      </c>
      <c r="C1394" t="s">
        <v>113</v>
      </c>
      <c r="D1394">
        <v>2</v>
      </c>
      <c r="E1394" t="s">
        <v>25</v>
      </c>
      <c r="F1394" t="s">
        <v>124</v>
      </c>
      <c r="G1394" t="s">
        <v>27</v>
      </c>
      <c r="I1394">
        <v>1</v>
      </c>
      <c r="J1394" t="s">
        <v>109</v>
      </c>
      <c r="K1394" s="1">
        <v>45467</v>
      </c>
      <c r="L1394">
        <v>7.6</v>
      </c>
      <c r="M1394">
        <v>1.9</v>
      </c>
    </row>
    <row r="1395" spans="1:13" hidden="1" x14ac:dyDescent="0.25">
      <c r="A1395" t="str">
        <f t="shared" si="21"/>
        <v>2024_WA_Bolgart_Chickpea_DetailedTOSTOS2VarietyHatTrickWaterTrtIrrigated</v>
      </c>
      <c r="B1395">
        <v>2024040</v>
      </c>
      <c r="C1395" t="s">
        <v>113</v>
      </c>
      <c r="D1395">
        <v>2</v>
      </c>
      <c r="E1395" t="s">
        <v>25</v>
      </c>
      <c r="F1395" t="s">
        <v>124</v>
      </c>
      <c r="G1395" t="s">
        <v>27</v>
      </c>
      <c r="I1395">
        <v>2</v>
      </c>
      <c r="J1395" t="s">
        <v>114</v>
      </c>
      <c r="K1395" s="1">
        <v>45503</v>
      </c>
      <c r="L1395">
        <v>5</v>
      </c>
      <c r="M1395">
        <v>1.9</v>
      </c>
    </row>
    <row r="1396" spans="1:13" hidden="1" x14ac:dyDescent="0.25">
      <c r="A1396" t="str">
        <f t="shared" si="21"/>
        <v>2024_WA_Bolgart_Chickpea_DetailedTOSTOS1VarietyHatTrickWaterTrtRainFed</v>
      </c>
      <c r="B1396">
        <v>2024040</v>
      </c>
      <c r="C1396" t="s">
        <v>113</v>
      </c>
      <c r="D1396">
        <v>2</v>
      </c>
      <c r="E1396" t="s">
        <v>25</v>
      </c>
      <c r="F1396" t="s">
        <v>124</v>
      </c>
      <c r="G1396" t="s">
        <v>30</v>
      </c>
      <c r="I1396">
        <v>1</v>
      </c>
      <c r="J1396" t="s">
        <v>109</v>
      </c>
      <c r="K1396" s="1">
        <v>45467</v>
      </c>
      <c r="L1396">
        <v>6.9</v>
      </c>
      <c r="M1396">
        <v>1.9</v>
      </c>
    </row>
    <row r="1397" spans="1:13" hidden="1" x14ac:dyDescent="0.25">
      <c r="A1397" t="str">
        <f t="shared" si="21"/>
        <v>2024_WA_Bolgart_Chickpea_DetailedTOSTOS2VarietyHatTrickWaterTrtRainFed</v>
      </c>
      <c r="B1397">
        <v>2024040</v>
      </c>
      <c r="C1397" t="s">
        <v>113</v>
      </c>
      <c r="D1397">
        <v>2</v>
      </c>
      <c r="E1397" t="s">
        <v>25</v>
      </c>
      <c r="F1397" t="s">
        <v>124</v>
      </c>
      <c r="G1397" t="s">
        <v>30</v>
      </c>
      <c r="I1397">
        <v>2</v>
      </c>
      <c r="J1397" t="s">
        <v>114</v>
      </c>
      <c r="K1397" s="1">
        <v>45503</v>
      </c>
      <c r="L1397">
        <v>4.8</v>
      </c>
      <c r="M1397">
        <v>1.9</v>
      </c>
    </row>
    <row r="1398" spans="1:13" hidden="1" x14ac:dyDescent="0.25">
      <c r="A1398" t="str">
        <f t="shared" si="21"/>
        <v>2024_WA_Bolgart_Chickpea_DetailedTOSTOS1VarietyStrikerWaterTrtIrrigated</v>
      </c>
      <c r="B1398">
        <v>2024040</v>
      </c>
      <c r="C1398" t="s">
        <v>113</v>
      </c>
      <c r="D1398">
        <v>2</v>
      </c>
      <c r="E1398" t="s">
        <v>25</v>
      </c>
      <c r="F1398" t="s">
        <v>125</v>
      </c>
      <c r="G1398" t="s">
        <v>27</v>
      </c>
      <c r="I1398">
        <v>1</v>
      </c>
      <c r="J1398" t="s">
        <v>109</v>
      </c>
      <c r="K1398" s="1">
        <v>45467</v>
      </c>
      <c r="L1398">
        <v>8.6</v>
      </c>
      <c r="M1398">
        <v>1.9</v>
      </c>
    </row>
    <row r="1399" spans="1:13" hidden="1" x14ac:dyDescent="0.25">
      <c r="A1399" t="str">
        <f t="shared" si="21"/>
        <v>2024_WA_Bolgart_Chickpea_DetailedTOSTOS2VarietyStrikerWaterTrtIrrigated</v>
      </c>
      <c r="B1399">
        <v>2024040</v>
      </c>
      <c r="C1399" t="s">
        <v>113</v>
      </c>
      <c r="D1399">
        <v>2</v>
      </c>
      <c r="E1399" t="s">
        <v>25</v>
      </c>
      <c r="F1399" t="s">
        <v>125</v>
      </c>
      <c r="G1399" t="s">
        <v>27</v>
      </c>
      <c r="I1399">
        <v>2</v>
      </c>
      <c r="J1399" t="s">
        <v>114</v>
      </c>
      <c r="K1399" s="1">
        <v>45503</v>
      </c>
      <c r="L1399">
        <v>6.8</v>
      </c>
      <c r="M1399">
        <v>1.9</v>
      </c>
    </row>
    <row r="1400" spans="1:13" hidden="1" x14ac:dyDescent="0.25">
      <c r="A1400" t="str">
        <f t="shared" si="21"/>
        <v>2024_WA_Bolgart_Chickpea_DetailedTOSTOS1VarietyStrikerWaterTrtRainFed</v>
      </c>
      <c r="B1400">
        <v>2024040</v>
      </c>
      <c r="C1400" t="s">
        <v>113</v>
      </c>
      <c r="D1400">
        <v>2</v>
      </c>
      <c r="E1400" t="s">
        <v>25</v>
      </c>
      <c r="F1400" t="s">
        <v>125</v>
      </c>
      <c r="G1400" t="s">
        <v>30</v>
      </c>
      <c r="I1400">
        <v>1</v>
      </c>
      <c r="J1400" t="s">
        <v>109</v>
      </c>
      <c r="K1400" s="1">
        <v>45467</v>
      </c>
      <c r="L1400">
        <v>7.8</v>
      </c>
      <c r="M1400">
        <v>1.9</v>
      </c>
    </row>
    <row r="1401" spans="1:13" hidden="1" x14ac:dyDescent="0.25">
      <c r="A1401" t="str">
        <f t="shared" si="21"/>
        <v>2024_WA_Bolgart_Chickpea_DetailedTOSTOS2VarietyStrikerWaterTrtRainFed</v>
      </c>
      <c r="B1401">
        <v>2024040</v>
      </c>
      <c r="C1401" t="s">
        <v>113</v>
      </c>
      <c r="D1401">
        <v>2</v>
      </c>
      <c r="E1401" t="s">
        <v>25</v>
      </c>
      <c r="F1401" t="s">
        <v>125</v>
      </c>
      <c r="G1401" t="s">
        <v>30</v>
      </c>
      <c r="I1401">
        <v>2</v>
      </c>
      <c r="J1401" t="s">
        <v>114</v>
      </c>
      <c r="K1401" s="1">
        <v>45503</v>
      </c>
      <c r="L1401">
        <v>8</v>
      </c>
      <c r="M1401">
        <v>1.9</v>
      </c>
    </row>
    <row r="1402" spans="1:13" hidden="1" x14ac:dyDescent="0.25">
      <c r="A1402" t="str">
        <f t="shared" si="21"/>
        <v>2024_WA_Bolgart_Chickpea_DetailedTOSTOS1VarietyCBA_CaptainWaterTrtIrrigated</v>
      </c>
      <c r="B1402">
        <v>2024040</v>
      </c>
      <c r="C1402" t="s">
        <v>113</v>
      </c>
      <c r="D1402">
        <v>3</v>
      </c>
      <c r="E1402" t="s">
        <v>31</v>
      </c>
      <c r="F1402" t="s">
        <v>26</v>
      </c>
      <c r="G1402" t="s">
        <v>27</v>
      </c>
      <c r="I1402">
        <v>1</v>
      </c>
      <c r="J1402" t="s">
        <v>109</v>
      </c>
      <c r="K1402" s="1">
        <v>45495</v>
      </c>
      <c r="L1402">
        <v>27.2</v>
      </c>
      <c r="M1402">
        <v>3.3</v>
      </c>
    </row>
    <row r="1403" spans="1:13" hidden="1" x14ac:dyDescent="0.25">
      <c r="A1403" t="str">
        <f t="shared" si="21"/>
        <v>2024_WA_Bolgart_Chickpea_DetailedTOSTOS2VarietyCBA_CaptainWaterTrtIrrigated</v>
      </c>
      <c r="B1403">
        <v>2024040</v>
      </c>
      <c r="C1403" t="s">
        <v>113</v>
      </c>
      <c r="D1403">
        <v>3</v>
      </c>
      <c r="E1403" t="s">
        <v>31</v>
      </c>
      <c r="F1403" t="s">
        <v>26</v>
      </c>
      <c r="G1403" t="s">
        <v>27</v>
      </c>
      <c r="I1403">
        <v>2</v>
      </c>
      <c r="J1403" t="s">
        <v>114</v>
      </c>
      <c r="K1403" s="1">
        <v>45530</v>
      </c>
      <c r="L1403">
        <v>26</v>
      </c>
      <c r="M1403">
        <v>3.3</v>
      </c>
    </row>
    <row r="1404" spans="1:13" hidden="1" x14ac:dyDescent="0.25">
      <c r="A1404" t="str">
        <f t="shared" si="21"/>
        <v>2024_WA_Bolgart_Chickpea_DetailedTOSTOS1VarietyCBA_CaptainWaterTrtRainFed</v>
      </c>
      <c r="B1404">
        <v>2024040</v>
      </c>
      <c r="C1404" t="s">
        <v>113</v>
      </c>
      <c r="D1404">
        <v>3</v>
      </c>
      <c r="E1404" t="s">
        <v>31</v>
      </c>
      <c r="F1404" t="s">
        <v>26</v>
      </c>
      <c r="G1404" t="s">
        <v>30</v>
      </c>
      <c r="I1404">
        <v>1</v>
      </c>
      <c r="J1404" t="s">
        <v>109</v>
      </c>
      <c r="K1404" s="1">
        <v>45495</v>
      </c>
      <c r="L1404">
        <v>25.1</v>
      </c>
      <c r="M1404">
        <v>3.3</v>
      </c>
    </row>
    <row r="1405" spans="1:13" hidden="1" x14ac:dyDescent="0.25">
      <c r="A1405" t="str">
        <f t="shared" si="21"/>
        <v>2024_WA_Bolgart_Chickpea_DetailedTOSTOS2VarietyCBA_CaptainWaterTrtRainFed</v>
      </c>
      <c r="B1405">
        <v>2024040</v>
      </c>
      <c r="C1405" t="s">
        <v>113</v>
      </c>
      <c r="D1405">
        <v>3</v>
      </c>
      <c r="E1405" t="s">
        <v>31</v>
      </c>
      <c r="F1405" t="s">
        <v>26</v>
      </c>
      <c r="G1405" t="s">
        <v>30</v>
      </c>
      <c r="I1405">
        <v>2</v>
      </c>
      <c r="J1405" t="s">
        <v>114</v>
      </c>
      <c r="K1405" s="1">
        <v>45530</v>
      </c>
      <c r="L1405">
        <v>25.6</v>
      </c>
      <c r="M1405">
        <v>3.3</v>
      </c>
    </row>
    <row r="1406" spans="1:13" hidden="1" x14ac:dyDescent="0.25">
      <c r="A1406" t="str">
        <f t="shared" si="21"/>
        <v>2024_WA_Bolgart_Chickpea_DetailedTOSTOS1VarietyDrummondWaterTrtIrrigated</v>
      </c>
      <c r="B1406">
        <v>2024040</v>
      </c>
      <c r="C1406" t="s">
        <v>113</v>
      </c>
      <c r="D1406">
        <v>3</v>
      </c>
      <c r="E1406" t="s">
        <v>31</v>
      </c>
      <c r="F1406" t="s">
        <v>123</v>
      </c>
      <c r="G1406" t="s">
        <v>27</v>
      </c>
      <c r="I1406">
        <v>1</v>
      </c>
      <c r="J1406" t="s">
        <v>109</v>
      </c>
      <c r="K1406" s="1">
        <v>45495</v>
      </c>
      <c r="L1406">
        <v>17.899999999999999</v>
      </c>
      <c r="M1406">
        <v>3.3</v>
      </c>
    </row>
    <row r="1407" spans="1:13" hidden="1" x14ac:dyDescent="0.25">
      <c r="A1407" t="str">
        <f t="shared" si="21"/>
        <v>2024_WA_Bolgart_Chickpea_DetailedTOSTOS2VarietyDrummondWaterTrtIrrigated</v>
      </c>
      <c r="B1407">
        <v>2024040</v>
      </c>
      <c r="C1407" t="s">
        <v>113</v>
      </c>
      <c r="D1407">
        <v>3</v>
      </c>
      <c r="E1407" t="s">
        <v>31</v>
      </c>
      <c r="F1407" t="s">
        <v>123</v>
      </c>
      <c r="G1407" t="s">
        <v>27</v>
      </c>
      <c r="I1407">
        <v>2</v>
      </c>
      <c r="J1407" t="s">
        <v>114</v>
      </c>
      <c r="K1407" s="1">
        <v>45530</v>
      </c>
      <c r="L1407">
        <v>21.3</v>
      </c>
      <c r="M1407">
        <v>3.3</v>
      </c>
    </row>
    <row r="1408" spans="1:13" hidden="1" x14ac:dyDescent="0.25">
      <c r="A1408" t="str">
        <f t="shared" si="21"/>
        <v>2024_WA_Bolgart_Chickpea_DetailedTOSTOS1VarietyDrummondWaterTrtRainFed</v>
      </c>
      <c r="B1408">
        <v>2024040</v>
      </c>
      <c r="C1408" t="s">
        <v>113</v>
      </c>
      <c r="D1408">
        <v>3</v>
      </c>
      <c r="E1408" t="s">
        <v>31</v>
      </c>
      <c r="F1408" t="s">
        <v>123</v>
      </c>
      <c r="G1408" t="s">
        <v>30</v>
      </c>
      <c r="I1408">
        <v>1</v>
      </c>
      <c r="J1408" t="s">
        <v>109</v>
      </c>
      <c r="K1408" s="1">
        <v>45495</v>
      </c>
      <c r="L1408">
        <v>21</v>
      </c>
      <c r="M1408">
        <v>3.3</v>
      </c>
    </row>
    <row r="1409" spans="1:13" hidden="1" x14ac:dyDescent="0.25">
      <c r="A1409" t="str">
        <f t="shared" si="21"/>
        <v>2024_WA_Bolgart_Chickpea_DetailedTOSTOS2VarietyDrummondWaterTrtRainFed</v>
      </c>
      <c r="B1409">
        <v>2024040</v>
      </c>
      <c r="C1409" t="s">
        <v>113</v>
      </c>
      <c r="D1409">
        <v>3</v>
      </c>
      <c r="E1409" t="s">
        <v>31</v>
      </c>
      <c r="F1409" t="s">
        <v>123</v>
      </c>
      <c r="G1409" t="s">
        <v>30</v>
      </c>
      <c r="I1409">
        <v>2</v>
      </c>
      <c r="J1409" t="s">
        <v>114</v>
      </c>
      <c r="K1409" s="1">
        <v>45530</v>
      </c>
      <c r="L1409">
        <v>22.4</v>
      </c>
      <c r="M1409">
        <v>3.3</v>
      </c>
    </row>
    <row r="1410" spans="1:13" hidden="1" x14ac:dyDescent="0.25">
      <c r="A1410" t="str">
        <f t="shared" si="21"/>
        <v>2024_WA_Bolgart_Chickpea_DetailedTOSTOS1VarietyHatTrickWaterTrtIrrigated</v>
      </c>
      <c r="B1410">
        <v>2024040</v>
      </c>
      <c r="C1410" t="s">
        <v>113</v>
      </c>
      <c r="D1410">
        <v>3</v>
      </c>
      <c r="E1410" t="s">
        <v>31</v>
      </c>
      <c r="F1410" t="s">
        <v>124</v>
      </c>
      <c r="G1410" t="s">
        <v>27</v>
      </c>
      <c r="I1410">
        <v>1</v>
      </c>
      <c r="J1410" t="s">
        <v>109</v>
      </c>
      <c r="K1410" s="1">
        <v>45495</v>
      </c>
      <c r="L1410">
        <v>16.600000000000001</v>
      </c>
      <c r="M1410">
        <v>3.3</v>
      </c>
    </row>
    <row r="1411" spans="1:13" hidden="1" x14ac:dyDescent="0.25">
      <c r="A1411" t="str">
        <f t="shared" ref="A1411:A1474" si="22">C1411&amp;"TOSTOS"&amp;I1411&amp;"Variety"&amp;F1411&amp;"WaterTrt"&amp;G1411&amp;IF(H1411="","","Agronomy"&amp;H1411)</f>
        <v>2024_WA_Bolgart_Chickpea_DetailedTOSTOS2VarietyHatTrickWaterTrtIrrigated</v>
      </c>
      <c r="B1411">
        <v>2024040</v>
      </c>
      <c r="C1411" t="s">
        <v>113</v>
      </c>
      <c r="D1411">
        <v>3</v>
      </c>
      <c r="E1411" t="s">
        <v>31</v>
      </c>
      <c r="F1411" t="s">
        <v>124</v>
      </c>
      <c r="G1411" t="s">
        <v>27</v>
      </c>
      <c r="I1411">
        <v>2</v>
      </c>
      <c r="J1411" t="s">
        <v>114</v>
      </c>
      <c r="K1411" s="1">
        <v>45530</v>
      </c>
      <c r="L1411">
        <v>22.1</v>
      </c>
      <c r="M1411">
        <v>3.3</v>
      </c>
    </row>
    <row r="1412" spans="1:13" hidden="1" x14ac:dyDescent="0.25">
      <c r="A1412" t="str">
        <f t="shared" si="22"/>
        <v>2024_WA_Bolgart_Chickpea_DetailedTOSTOS1VarietyHatTrickWaterTrtRainFed</v>
      </c>
      <c r="B1412">
        <v>2024040</v>
      </c>
      <c r="C1412" t="s">
        <v>113</v>
      </c>
      <c r="D1412">
        <v>3</v>
      </c>
      <c r="E1412" t="s">
        <v>31</v>
      </c>
      <c r="F1412" t="s">
        <v>124</v>
      </c>
      <c r="G1412" t="s">
        <v>30</v>
      </c>
      <c r="I1412">
        <v>1</v>
      </c>
      <c r="J1412" t="s">
        <v>109</v>
      </c>
      <c r="K1412" s="1">
        <v>45495</v>
      </c>
      <c r="L1412">
        <v>17.600000000000001</v>
      </c>
      <c r="M1412">
        <v>3.3</v>
      </c>
    </row>
    <row r="1413" spans="1:13" hidden="1" x14ac:dyDescent="0.25">
      <c r="A1413" t="str">
        <f t="shared" si="22"/>
        <v>2024_WA_Bolgart_Chickpea_DetailedTOSTOS2VarietyHatTrickWaterTrtRainFed</v>
      </c>
      <c r="B1413">
        <v>2024040</v>
      </c>
      <c r="C1413" t="s">
        <v>113</v>
      </c>
      <c r="D1413">
        <v>3</v>
      </c>
      <c r="E1413" t="s">
        <v>31</v>
      </c>
      <c r="F1413" t="s">
        <v>124</v>
      </c>
      <c r="G1413" t="s">
        <v>30</v>
      </c>
      <c r="I1413">
        <v>2</v>
      </c>
      <c r="J1413" t="s">
        <v>114</v>
      </c>
      <c r="K1413" s="1">
        <v>45530</v>
      </c>
      <c r="L1413">
        <v>23.3</v>
      </c>
      <c r="M1413">
        <v>3.3</v>
      </c>
    </row>
    <row r="1414" spans="1:13" hidden="1" x14ac:dyDescent="0.25">
      <c r="A1414" t="str">
        <f t="shared" si="22"/>
        <v>2024_WA_Bolgart_Chickpea_DetailedTOSTOS1VarietyStrikerWaterTrtIrrigated</v>
      </c>
      <c r="B1414">
        <v>2024040</v>
      </c>
      <c r="C1414" t="s">
        <v>113</v>
      </c>
      <c r="D1414">
        <v>3</v>
      </c>
      <c r="E1414" t="s">
        <v>31</v>
      </c>
      <c r="F1414" t="s">
        <v>125</v>
      </c>
      <c r="G1414" t="s">
        <v>27</v>
      </c>
      <c r="I1414">
        <v>1</v>
      </c>
      <c r="J1414" t="s">
        <v>109</v>
      </c>
      <c r="K1414" s="1">
        <v>45495</v>
      </c>
      <c r="L1414">
        <v>18.8</v>
      </c>
      <c r="M1414">
        <v>3.3</v>
      </c>
    </row>
    <row r="1415" spans="1:13" hidden="1" x14ac:dyDescent="0.25">
      <c r="A1415" t="str">
        <f t="shared" si="22"/>
        <v>2024_WA_Bolgart_Chickpea_DetailedTOSTOS2VarietyStrikerWaterTrtIrrigated</v>
      </c>
      <c r="B1415">
        <v>2024040</v>
      </c>
      <c r="C1415" t="s">
        <v>113</v>
      </c>
      <c r="D1415">
        <v>3</v>
      </c>
      <c r="E1415" t="s">
        <v>31</v>
      </c>
      <c r="F1415" t="s">
        <v>125</v>
      </c>
      <c r="G1415" t="s">
        <v>27</v>
      </c>
      <c r="I1415">
        <v>2</v>
      </c>
      <c r="J1415" t="s">
        <v>114</v>
      </c>
      <c r="K1415" s="1">
        <v>45530</v>
      </c>
      <c r="L1415">
        <v>19.600000000000001</v>
      </c>
      <c r="M1415">
        <v>3.3</v>
      </c>
    </row>
    <row r="1416" spans="1:13" hidden="1" x14ac:dyDescent="0.25">
      <c r="A1416" t="str">
        <f t="shared" si="22"/>
        <v>2024_WA_Bolgart_Chickpea_DetailedTOSTOS1VarietyStrikerWaterTrtRainFed</v>
      </c>
      <c r="B1416">
        <v>2024040</v>
      </c>
      <c r="C1416" t="s">
        <v>113</v>
      </c>
      <c r="D1416">
        <v>3</v>
      </c>
      <c r="E1416" t="s">
        <v>31</v>
      </c>
      <c r="F1416" t="s">
        <v>125</v>
      </c>
      <c r="G1416" t="s">
        <v>30</v>
      </c>
      <c r="I1416">
        <v>1</v>
      </c>
      <c r="J1416" t="s">
        <v>109</v>
      </c>
      <c r="K1416" s="1">
        <v>45495</v>
      </c>
      <c r="L1416">
        <v>19.899999999999999</v>
      </c>
      <c r="M1416">
        <v>3.3</v>
      </c>
    </row>
    <row r="1417" spans="1:13" hidden="1" x14ac:dyDescent="0.25">
      <c r="A1417" t="str">
        <f t="shared" si="22"/>
        <v>2024_WA_Bolgart_Chickpea_DetailedTOSTOS2VarietyStrikerWaterTrtRainFed</v>
      </c>
      <c r="B1417">
        <v>2024040</v>
      </c>
      <c r="C1417" t="s">
        <v>113</v>
      </c>
      <c r="D1417">
        <v>3</v>
      </c>
      <c r="E1417" t="s">
        <v>31</v>
      </c>
      <c r="F1417" t="s">
        <v>125</v>
      </c>
      <c r="G1417" t="s">
        <v>30</v>
      </c>
      <c r="I1417">
        <v>2</v>
      </c>
      <c r="J1417" t="s">
        <v>114</v>
      </c>
      <c r="K1417" s="1">
        <v>45530</v>
      </c>
      <c r="L1417">
        <v>20</v>
      </c>
      <c r="M1417">
        <v>3.3</v>
      </c>
    </row>
    <row r="1418" spans="1:13" hidden="1" x14ac:dyDescent="0.25">
      <c r="A1418" t="str">
        <f t="shared" si="22"/>
        <v>2024_WA_Bolgart_Chickpea_DetailedTOSTOS1VarietyCBA_CaptainWaterTrtIrrigated</v>
      </c>
      <c r="B1418">
        <v>2024040</v>
      </c>
      <c r="C1418" t="s">
        <v>113</v>
      </c>
      <c r="D1418">
        <v>4</v>
      </c>
      <c r="E1418" t="s">
        <v>32</v>
      </c>
      <c r="F1418" t="s">
        <v>26</v>
      </c>
      <c r="G1418" t="s">
        <v>27</v>
      </c>
      <c r="I1418">
        <v>1</v>
      </c>
      <c r="J1418" t="s">
        <v>109</v>
      </c>
      <c r="K1418" s="1">
        <v>45538</v>
      </c>
      <c r="L1418">
        <v>253.5</v>
      </c>
      <c r="M1418">
        <v>37</v>
      </c>
    </row>
    <row r="1419" spans="1:13" hidden="1" x14ac:dyDescent="0.25">
      <c r="A1419" t="str">
        <f t="shared" si="22"/>
        <v>2024_WA_Bolgart_Chickpea_DetailedTOSTOS2VarietyCBA_CaptainWaterTrtIrrigated</v>
      </c>
      <c r="B1419">
        <v>2024040</v>
      </c>
      <c r="C1419" t="s">
        <v>113</v>
      </c>
      <c r="D1419">
        <v>4</v>
      </c>
      <c r="E1419" t="s">
        <v>32</v>
      </c>
      <c r="F1419" t="s">
        <v>26</v>
      </c>
      <c r="G1419" t="s">
        <v>27</v>
      </c>
      <c r="I1419">
        <v>2</v>
      </c>
      <c r="J1419" t="s">
        <v>114</v>
      </c>
      <c r="K1419" s="1">
        <v>45554</v>
      </c>
      <c r="L1419">
        <v>86.3</v>
      </c>
      <c r="M1419">
        <v>37</v>
      </c>
    </row>
    <row r="1420" spans="1:13" hidden="1" x14ac:dyDescent="0.25">
      <c r="A1420" t="str">
        <f t="shared" si="22"/>
        <v>2024_WA_Bolgart_Chickpea_DetailedTOSTOS1VarietyCBA_CaptainWaterTrtRainFed</v>
      </c>
      <c r="B1420">
        <v>2024040</v>
      </c>
      <c r="C1420" t="s">
        <v>113</v>
      </c>
      <c r="D1420">
        <v>4</v>
      </c>
      <c r="E1420" t="s">
        <v>32</v>
      </c>
      <c r="F1420" t="s">
        <v>26</v>
      </c>
      <c r="G1420" t="s">
        <v>30</v>
      </c>
      <c r="I1420">
        <v>1</v>
      </c>
      <c r="J1420" t="s">
        <v>109</v>
      </c>
      <c r="K1420" s="1">
        <v>45538</v>
      </c>
      <c r="L1420">
        <v>201.1</v>
      </c>
      <c r="M1420">
        <v>37</v>
      </c>
    </row>
    <row r="1421" spans="1:13" hidden="1" x14ac:dyDescent="0.25">
      <c r="A1421" t="str">
        <f t="shared" si="22"/>
        <v>2024_WA_Bolgart_Chickpea_DetailedTOSTOS2VarietyCBA_CaptainWaterTrtRainFed</v>
      </c>
      <c r="B1421">
        <v>2024040</v>
      </c>
      <c r="C1421" t="s">
        <v>113</v>
      </c>
      <c r="D1421">
        <v>4</v>
      </c>
      <c r="E1421" t="s">
        <v>32</v>
      </c>
      <c r="F1421" t="s">
        <v>26</v>
      </c>
      <c r="G1421" t="s">
        <v>30</v>
      </c>
      <c r="I1421">
        <v>2</v>
      </c>
      <c r="J1421" t="s">
        <v>114</v>
      </c>
      <c r="K1421" s="1">
        <v>45554</v>
      </c>
      <c r="L1421">
        <v>66.400000000000006</v>
      </c>
      <c r="M1421">
        <v>37</v>
      </c>
    </row>
    <row r="1422" spans="1:13" hidden="1" x14ac:dyDescent="0.25">
      <c r="A1422" t="str">
        <f t="shared" si="22"/>
        <v>2024_WA_Bolgart_Chickpea_DetailedTOSTOS1VarietyDrummondWaterTrtIrrigated</v>
      </c>
      <c r="B1422">
        <v>2024040</v>
      </c>
      <c r="C1422" t="s">
        <v>113</v>
      </c>
      <c r="D1422">
        <v>4</v>
      </c>
      <c r="E1422" t="s">
        <v>32</v>
      </c>
      <c r="F1422" t="s">
        <v>123</v>
      </c>
      <c r="G1422" t="s">
        <v>27</v>
      </c>
      <c r="I1422">
        <v>1</v>
      </c>
      <c r="J1422" t="s">
        <v>109</v>
      </c>
      <c r="K1422" s="1">
        <v>45545</v>
      </c>
      <c r="L1422">
        <v>209.2</v>
      </c>
      <c r="M1422">
        <v>37</v>
      </c>
    </row>
    <row r="1423" spans="1:13" hidden="1" x14ac:dyDescent="0.25">
      <c r="A1423" t="str">
        <f t="shared" si="22"/>
        <v>2024_WA_Bolgart_Chickpea_DetailedTOSTOS2VarietyDrummondWaterTrtIrrigated</v>
      </c>
      <c r="B1423">
        <v>2024040</v>
      </c>
      <c r="C1423" t="s">
        <v>113</v>
      </c>
      <c r="D1423">
        <v>4</v>
      </c>
      <c r="E1423" t="s">
        <v>32</v>
      </c>
      <c r="F1423" t="s">
        <v>123</v>
      </c>
      <c r="G1423" t="s">
        <v>27</v>
      </c>
      <c r="I1423">
        <v>2</v>
      </c>
      <c r="J1423" t="s">
        <v>114</v>
      </c>
      <c r="K1423" s="1">
        <v>45559</v>
      </c>
      <c r="L1423">
        <v>106.7</v>
      </c>
      <c r="M1423">
        <v>37</v>
      </c>
    </row>
    <row r="1424" spans="1:13" hidden="1" x14ac:dyDescent="0.25">
      <c r="A1424" t="str">
        <f t="shared" si="22"/>
        <v>2024_WA_Bolgart_Chickpea_DetailedTOSTOS1VarietyDrummondWaterTrtRainFed</v>
      </c>
      <c r="B1424">
        <v>2024040</v>
      </c>
      <c r="C1424" t="s">
        <v>113</v>
      </c>
      <c r="D1424">
        <v>4</v>
      </c>
      <c r="E1424" t="s">
        <v>32</v>
      </c>
      <c r="F1424" t="s">
        <v>123</v>
      </c>
      <c r="G1424" t="s">
        <v>30</v>
      </c>
      <c r="I1424">
        <v>1</v>
      </c>
      <c r="J1424" t="s">
        <v>109</v>
      </c>
      <c r="K1424" s="1">
        <v>45545</v>
      </c>
      <c r="L1424">
        <v>291.89999999999998</v>
      </c>
      <c r="M1424">
        <v>37</v>
      </c>
    </row>
    <row r="1425" spans="1:13" hidden="1" x14ac:dyDescent="0.25">
      <c r="A1425" t="str">
        <f t="shared" si="22"/>
        <v>2024_WA_Bolgart_Chickpea_DetailedTOSTOS2VarietyDrummondWaterTrtRainFed</v>
      </c>
      <c r="B1425">
        <v>2024040</v>
      </c>
      <c r="C1425" t="s">
        <v>113</v>
      </c>
      <c r="D1425">
        <v>4</v>
      </c>
      <c r="E1425" t="s">
        <v>32</v>
      </c>
      <c r="F1425" t="s">
        <v>123</v>
      </c>
      <c r="G1425" t="s">
        <v>30</v>
      </c>
      <c r="I1425">
        <v>2</v>
      </c>
      <c r="J1425" t="s">
        <v>114</v>
      </c>
      <c r="K1425" s="1">
        <v>45559</v>
      </c>
      <c r="L1425">
        <v>126.6</v>
      </c>
      <c r="M1425">
        <v>37</v>
      </c>
    </row>
    <row r="1426" spans="1:13" hidden="1" x14ac:dyDescent="0.25">
      <c r="A1426" t="str">
        <f t="shared" si="22"/>
        <v>2024_WA_Bolgart_Chickpea_DetailedTOSTOS1VarietyHatTrickWaterTrtIrrigated</v>
      </c>
      <c r="B1426">
        <v>2024040</v>
      </c>
      <c r="C1426" t="s">
        <v>113</v>
      </c>
      <c r="D1426">
        <v>4</v>
      </c>
      <c r="E1426" t="s">
        <v>32</v>
      </c>
      <c r="F1426" t="s">
        <v>124</v>
      </c>
      <c r="G1426" t="s">
        <v>27</v>
      </c>
      <c r="I1426">
        <v>1</v>
      </c>
      <c r="J1426" t="s">
        <v>109</v>
      </c>
      <c r="K1426" s="1">
        <v>45545</v>
      </c>
      <c r="L1426">
        <v>161.30000000000001</v>
      </c>
      <c r="M1426">
        <v>37</v>
      </c>
    </row>
    <row r="1427" spans="1:13" hidden="1" x14ac:dyDescent="0.25">
      <c r="A1427" t="str">
        <f t="shared" si="22"/>
        <v>2024_WA_Bolgart_Chickpea_DetailedTOSTOS2VarietyHatTrickWaterTrtIrrigated</v>
      </c>
      <c r="B1427">
        <v>2024040</v>
      </c>
      <c r="C1427" t="s">
        <v>113</v>
      </c>
      <c r="D1427">
        <v>4</v>
      </c>
      <c r="E1427" t="s">
        <v>32</v>
      </c>
      <c r="F1427" t="s">
        <v>124</v>
      </c>
      <c r="G1427" t="s">
        <v>27</v>
      </c>
      <c r="I1427">
        <v>2</v>
      </c>
      <c r="J1427" t="s">
        <v>114</v>
      </c>
      <c r="K1427" s="1">
        <v>45559</v>
      </c>
      <c r="L1427">
        <v>116.1</v>
      </c>
      <c r="M1427">
        <v>37</v>
      </c>
    </row>
    <row r="1428" spans="1:13" hidden="1" x14ac:dyDescent="0.25">
      <c r="A1428" t="str">
        <f t="shared" si="22"/>
        <v>2024_WA_Bolgart_Chickpea_DetailedTOSTOS1VarietyHatTrickWaterTrtRainFed</v>
      </c>
      <c r="B1428">
        <v>2024040</v>
      </c>
      <c r="C1428" t="s">
        <v>113</v>
      </c>
      <c r="D1428">
        <v>4</v>
      </c>
      <c r="E1428" t="s">
        <v>32</v>
      </c>
      <c r="F1428" t="s">
        <v>124</v>
      </c>
      <c r="G1428" t="s">
        <v>30</v>
      </c>
      <c r="I1428">
        <v>1</v>
      </c>
      <c r="J1428" t="s">
        <v>109</v>
      </c>
      <c r="K1428" s="1">
        <v>45545</v>
      </c>
      <c r="L1428">
        <v>209.7</v>
      </c>
      <c r="M1428">
        <v>37</v>
      </c>
    </row>
    <row r="1429" spans="1:13" hidden="1" x14ac:dyDescent="0.25">
      <c r="A1429" t="str">
        <f t="shared" si="22"/>
        <v>2024_WA_Bolgart_Chickpea_DetailedTOSTOS2VarietyHatTrickWaterTrtRainFed</v>
      </c>
      <c r="B1429">
        <v>2024040</v>
      </c>
      <c r="C1429" t="s">
        <v>113</v>
      </c>
      <c r="D1429">
        <v>4</v>
      </c>
      <c r="E1429" t="s">
        <v>32</v>
      </c>
      <c r="F1429" t="s">
        <v>124</v>
      </c>
      <c r="G1429" t="s">
        <v>30</v>
      </c>
      <c r="I1429">
        <v>2</v>
      </c>
      <c r="J1429" t="s">
        <v>114</v>
      </c>
      <c r="K1429" s="1">
        <v>45559</v>
      </c>
      <c r="L1429">
        <v>125.4</v>
      </c>
      <c r="M1429">
        <v>37</v>
      </c>
    </row>
    <row r="1430" spans="1:13" hidden="1" x14ac:dyDescent="0.25">
      <c r="A1430" t="str">
        <f t="shared" si="22"/>
        <v>2024_WA_Bolgart_Chickpea_DetailedTOSTOS1VarietyStrikerWaterTrtIrrigated</v>
      </c>
      <c r="B1430">
        <v>2024040</v>
      </c>
      <c r="C1430" t="s">
        <v>113</v>
      </c>
      <c r="D1430">
        <v>4</v>
      </c>
      <c r="E1430" t="s">
        <v>32</v>
      </c>
      <c r="F1430" t="s">
        <v>125</v>
      </c>
      <c r="G1430" t="s">
        <v>27</v>
      </c>
      <c r="I1430">
        <v>1</v>
      </c>
      <c r="J1430" t="s">
        <v>109</v>
      </c>
      <c r="K1430" s="1">
        <v>45538</v>
      </c>
      <c r="L1430">
        <v>148.1</v>
      </c>
      <c r="M1430">
        <v>37</v>
      </c>
    </row>
    <row r="1431" spans="1:13" hidden="1" x14ac:dyDescent="0.25">
      <c r="A1431" t="str">
        <f t="shared" si="22"/>
        <v>2024_WA_Bolgart_Chickpea_DetailedTOSTOS2VarietyStrikerWaterTrtIrrigated</v>
      </c>
      <c r="B1431">
        <v>2024040</v>
      </c>
      <c r="C1431" t="s">
        <v>113</v>
      </c>
      <c r="D1431">
        <v>4</v>
      </c>
      <c r="E1431" t="s">
        <v>32</v>
      </c>
      <c r="F1431" t="s">
        <v>125</v>
      </c>
      <c r="G1431" t="s">
        <v>27</v>
      </c>
      <c r="I1431">
        <v>2</v>
      </c>
      <c r="J1431" t="s">
        <v>114</v>
      </c>
      <c r="K1431" s="1">
        <v>45554</v>
      </c>
      <c r="L1431">
        <v>71.2</v>
      </c>
      <c r="M1431">
        <v>37</v>
      </c>
    </row>
    <row r="1432" spans="1:13" hidden="1" x14ac:dyDescent="0.25">
      <c r="A1432" t="str">
        <f t="shared" si="22"/>
        <v>2024_WA_Bolgart_Chickpea_DetailedTOSTOS1VarietyStrikerWaterTrtRainFed</v>
      </c>
      <c r="B1432">
        <v>2024040</v>
      </c>
      <c r="C1432" t="s">
        <v>113</v>
      </c>
      <c r="D1432">
        <v>4</v>
      </c>
      <c r="E1432" t="s">
        <v>32</v>
      </c>
      <c r="F1432" t="s">
        <v>125</v>
      </c>
      <c r="G1432" t="s">
        <v>30</v>
      </c>
      <c r="I1432">
        <v>1</v>
      </c>
      <c r="J1432" t="s">
        <v>109</v>
      </c>
      <c r="K1432" s="1">
        <v>45538</v>
      </c>
      <c r="L1432">
        <v>194.8</v>
      </c>
      <c r="M1432">
        <v>37</v>
      </c>
    </row>
    <row r="1433" spans="1:13" hidden="1" x14ac:dyDescent="0.25">
      <c r="A1433" t="str">
        <f t="shared" si="22"/>
        <v>2024_WA_Bolgart_Chickpea_DetailedTOSTOS2VarietyStrikerWaterTrtRainFed</v>
      </c>
      <c r="B1433">
        <v>2024040</v>
      </c>
      <c r="C1433" t="s">
        <v>113</v>
      </c>
      <c r="D1433">
        <v>4</v>
      </c>
      <c r="E1433" t="s">
        <v>32</v>
      </c>
      <c r="F1433" t="s">
        <v>125</v>
      </c>
      <c r="G1433" t="s">
        <v>30</v>
      </c>
      <c r="I1433">
        <v>2</v>
      </c>
      <c r="J1433" t="s">
        <v>114</v>
      </c>
      <c r="K1433" s="1">
        <v>45554</v>
      </c>
      <c r="L1433">
        <v>57.8</v>
      </c>
      <c r="M1433">
        <v>37</v>
      </c>
    </row>
    <row r="1434" spans="1:13" hidden="1" x14ac:dyDescent="0.25">
      <c r="A1434" t="str">
        <f t="shared" si="22"/>
        <v>2024_WA_Bolgart_Chickpea_DetailedTOSTOS1VarietyCBA_CaptainWaterTrtIrrigated</v>
      </c>
      <c r="B1434">
        <v>2024040</v>
      </c>
      <c r="C1434" t="s">
        <v>113</v>
      </c>
      <c r="D1434">
        <v>5</v>
      </c>
      <c r="E1434" t="s">
        <v>33</v>
      </c>
      <c r="F1434" t="s">
        <v>26</v>
      </c>
      <c r="G1434" t="s">
        <v>27</v>
      </c>
      <c r="I1434">
        <v>1</v>
      </c>
      <c r="J1434" t="s">
        <v>109</v>
      </c>
      <c r="K1434" s="1">
        <v>45565</v>
      </c>
      <c r="L1434">
        <v>475</v>
      </c>
      <c r="M1434">
        <v>53</v>
      </c>
    </row>
    <row r="1435" spans="1:13" hidden="1" x14ac:dyDescent="0.25">
      <c r="A1435" t="str">
        <f t="shared" si="22"/>
        <v>2024_WA_Bolgart_Chickpea_DetailedTOSTOS2VarietyCBA_CaptainWaterTrtIrrigated</v>
      </c>
      <c r="B1435">
        <v>2024040</v>
      </c>
      <c r="C1435" t="s">
        <v>113</v>
      </c>
      <c r="D1435">
        <v>5</v>
      </c>
      <c r="E1435" t="s">
        <v>33</v>
      </c>
      <c r="F1435" t="s">
        <v>26</v>
      </c>
      <c r="G1435" t="s">
        <v>27</v>
      </c>
      <c r="I1435">
        <v>2</v>
      </c>
      <c r="J1435" t="s">
        <v>114</v>
      </c>
      <c r="K1435" s="1">
        <v>45572</v>
      </c>
      <c r="L1435">
        <v>157.5</v>
      </c>
      <c r="M1435">
        <v>49</v>
      </c>
    </row>
    <row r="1436" spans="1:13" hidden="1" x14ac:dyDescent="0.25">
      <c r="A1436" t="str">
        <f t="shared" si="22"/>
        <v>2024_WA_Bolgart_Chickpea_DetailedTOSTOS1VarietyCBA_CaptainWaterTrtRainFed</v>
      </c>
      <c r="B1436">
        <v>2024040</v>
      </c>
      <c r="C1436" t="s">
        <v>113</v>
      </c>
      <c r="D1436">
        <v>5</v>
      </c>
      <c r="E1436" t="s">
        <v>33</v>
      </c>
      <c r="F1436" t="s">
        <v>26</v>
      </c>
      <c r="G1436" t="s">
        <v>30</v>
      </c>
      <c r="I1436">
        <v>1</v>
      </c>
      <c r="J1436" t="s">
        <v>109</v>
      </c>
      <c r="K1436" s="1">
        <v>45565</v>
      </c>
      <c r="L1436">
        <v>430.6</v>
      </c>
      <c r="M1436">
        <v>49</v>
      </c>
    </row>
    <row r="1437" spans="1:13" hidden="1" x14ac:dyDescent="0.25">
      <c r="A1437" t="str">
        <f t="shared" si="22"/>
        <v>2024_WA_Bolgart_Chickpea_DetailedTOSTOS2VarietyCBA_CaptainWaterTrtRainFed</v>
      </c>
      <c r="B1437">
        <v>2024040</v>
      </c>
      <c r="C1437" t="s">
        <v>113</v>
      </c>
      <c r="D1437">
        <v>5</v>
      </c>
      <c r="E1437" t="s">
        <v>33</v>
      </c>
      <c r="F1437" t="s">
        <v>26</v>
      </c>
      <c r="G1437" t="s">
        <v>30</v>
      </c>
      <c r="I1437">
        <v>2</v>
      </c>
      <c r="J1437" t="s">
        <v>114</v>
      </c>
      <c r="K1437" s="1">
        <v>45572</v>
      </c>
      <c r="L1437">
        <v>200.5</v>
      </c>
      <c r="M1437">
        <v>49</v>
      </c>
    </row>
    <row r="1438" spans="1:13" hidden="1" x14ac:dyDescent="0.25">
      <c r="A1438" t="str">
        <f t="shared" si="22"/>
        <v>2024_WA_Bolgart_Chickpea_DetailedTOSTOS1VarietyDrummondWaterTrtIrrigated</v>
      </c>
      <c r="B1438">
        <v>2024040</v>
      </c>
      <c r="C1438" t="s">
        <v>113</v>
      </c>
      <c r="D1438">
        <v>5</v>
      </c>
      <c r="E1438" t="s">
        <v>33</v>
      </c>
      <c r="F1438" t="s">
        <v>123</v>
      </c>
      <c r="G1438" t="s">
        <v>27</v>
      </c>
      <c r="I1438">
        <v>1</v>
      </c>
      <c r="J1438" t="s">
        <v>109</v>
      </c>
      <c r="K1438" s="1">
        <v>45572</v>
      </c>
      <c r="L1438">
        <v>396.1</v>
      </c>
      <c r="M1438">
        <v>49</v>
      </c>
    </row>
    <row r="1439" spans="1:13" hidden="1" x14ac:dyDescent="0.25">
      <c r="A1439" t="str">
        <f t="shared" si="22"/>
        <v>2024_WA_Bolgart_Chickpea_DetailedTOSTOS2VarietyDrummondWaterTrtIrrigated</v>
      </c>
      <c r="B1439">
        <v>2024040</v>
      </c>
      <c r="C1439" t="s">
        <v>113</v>
      </c>
      <c r="D1439">
        <v>5</v>
      </c>
      <c r="E1439" t="s">
        <v>33</v>
      </c>
      <c r="F1439" t="s">
        <v>123</v>
      </c>
      <c r="G1439" t="s">
        <v>27</v>
      </c>
      <c r="I1439">
        <v>2</v>
      </c>
      <c r="J1439" t="s">
        <v>114</v>
      </c>
      <c r="K1439" s="1">
        <v>45579</v>
      </c>
      <c r="L1439">
        <v>271.5</v>
      </c>
      <c r="M1439">
        <v>49</v>
      </c>
    </row>
    <row r="1440" spans="1:13" hidden="1" x14ac:dyDescent="0.25">
      <c r="A1440" t="str">
        <f t="shared" si="22"/>
        <v>2024_WA_Bolgart_Chickpea_DetailedTOSTOS1VarietyDrummondWaterTrtRainFed</v>
      </c>
      <c r="B1440">
        <v>2024040</v>
      </c>
      <c r="C1440" t="s">
        <v>113</v>
      </c>
      <c r="D1440">
        <v>5</v>
      </c>
      <c r="E1440" t="s">
        <v>33</v>
      </c>
      <c r="F1440" t="s">
        <v>123</v>
      </c>
      <c r="G1440" t="s">
        <v>30</v>
      </c>
      <c r="I1440">
        <v>1</v>
      </c>
      <c r="J1440" t="s">
        <v>109</v>
      </c>
      <c r="K1440" s="1">
        <v>45572</v>
      </c>
      <c r="L1440">
        <v>519.4</v>
      </c>
      <c r="M1440">
        <v>49</v>
      </c>
    </row>
    <row r="1441" spans="1:25" hidden="1" x14ac:dyDescent="0.25">
      <c r="A1441" t="str">
        <f t="shared" si="22"/>
        <v>2024_WA_Bolgart_Chickpea_DetailedTOSTOS2VarietyDrummondWaterTrtRainFed</v>
      </c>
      <c r="B1441">
        <v>2024040</v>
      </c>
      <c r="C1441" t="s">
        <v>113</v>
      </c>
      <c r="D1441">
        <v>5</v>
      </c>
      <c r="E1441" t="s">
        <v>33</v>
      </c>
      <c r="F1441" t="s">
        <v>123</v>
      </c>
      <c r="G1441" t="s">
        <v>30</v>
      </c>
      <c r="I1441">
        <v>2</v>
      </c>
      <c r="J1441" t="s">
        <v>114</v>
      </c>
      <c r="K1441" s="1">
        <v>45579</v>
      </c>
      <c r="L1441">
        <v>338.4</v>
      </c>
      <c r="M1441">
        <v>49</v>
      </c>
    </row>
    <row r="1442" spans="1:25" hidden="1" x14ac:dyDescent="0.25">
      <c r="A1442" t="str">
        <f t="shared" si="22"/>
        <v>2024_WA_Bolgart_Chickpea_DetailedTOSTOS1VarietyHatTrickWaterTrtIrrigated</v>
      </c>
      <c r="B1442">
        <v>2024040</v>
      </c>
      <c r="C1442" t="s">
        <v>113</v>
      </c>
      <c r="D1442">
        <v>5</v>
      </c>
      <c r="E1442" t="s">
        <v>33</v>
      </c>
      <c r="F1442" t="s">
        <v>124</v>
      </c>
      <c r="G1442" t="s">
        <v>27</v>
      </c>
      <c r="I1442">
        <v>1</v>
      </c>
      <c r="J1442" t="s">
        <v>109</v>
      </c>
      <c r="K1442" s="1">
        <v>45572</v>
      </c>
      <c r="L1442">
        <v>518.6</v>
      </c>
      <c r="M1442">
        <v>49</v>
      </c>
    </row>
    <row r="1443" spans="1:25" hidden="1" x14ac:dyDescent="0.25">
      <c r="A1443" t="str">
        <f t="shared" si="22"/>
        <v>2024_WA_Bolgart_Chickpea_DetailedTOSTOS2VarietyHatTrickWaterTrtIrrigated</v>
      </c>
      <c r="B1443">
        <v>2024040</v>
      </c>
      <c r="C1443" t="s">
        <v>113</v>
      </c>
      <c r="D1443">
        <v>5</v>
      </c>
      <c r="E1443" t="s">
        <v>33</v>
      </c>
      <c r="F1443" t="s">
        <v>124</v>
      </c>
      <c r="G1443" t="s">
        <v>27</v>
      </c>
      <c r="I1443">
        <v>2</v>
      </c>
      <c r="J1443" t="s">
        <v>114</v>
      </c>
      <c r="K1443" s="1">
        <v>45579</v>
      </c>
      <c r="L1443">
        <v>182.6</v>
      </c>
      <c r="M1443">
        <v>49</v>
      </c>
    </row>
    <row r="1444" spans="1:25" hidden="1" x14ac:dyDescent="0.25">
      <c r="A1444" t="str">
        <f t="shared" si="22"/>
        <v>2024_WA_Bolgart_Chickpea_DetailedTOSTOS1VarietyHatTrickWaterTrtRainFed</v>
      </c>
      <c r="B1444">
        <v>2024040</v>
      </c>
      <c r="C1444" t="s">
        <v>113</v>
      </c>
      <c r="D1444">
        <v>5</v>
      </c>
      <c r="E1444" t="s">
        <v>33</v>
      </c>
      <c r="F1444" t="s">
        <v>124</v>
      </c>
      <c r="G1444" t="s">
        <v>30</v>
      </c>
      <c r="I1444">
        <v>1</v>
      </c>
      <c r="J1444" t="s">
        <v>109</v>
      </c>
      <c r="K1444" s="1">
        <v>45572</v>
      </c>
      <c r="L1444">
        <v>513</v>
      </c>
      <c r="M1444">
        <v>49</v>
      </c>
    </row>
    <row r="1445" spans="1:25" hidden="1" x14ac:dyDescent="0.25">
      <c r="A1445" t="str">
        <f t="shared" si="22"/>
        <v>2024_WA_Bolgart_Chickpea_DetailedTOSTOS2VarietyHatTrickWaterTrtRainFed</v>
      </c>
      <c r="B1445">
        <v>2024040</v>
      </c>
      <c r="C1445" t="s">
        <v>113</v>
      </c>
      <c r="D1445">
        <v>5</v>
      </c>
      <c r="E1445" t="s">
        <v>33</v>
      </c>
      <c r="F1445" t="s">
        <v>124</v>
      </c>
      <c r="G1445" t="s">
        <v>30</v>
      </c>
      <c r="I1445">
        <v>2</v>
      </c>
      <c r="J1445" t="s">
        <v>114</v>
      </c>
      <c r="K1445" s="1">
        <v>45579</v>
      </c>
      <c r="L1445">
        <v>344.2</v>
      </c>
      <c r="M1445">
        <v>49</v>
      </c>
    </row>
    <row r="1446" spans="1:25" hidden="1" x14ac:dyDescent="0.25">
      <c r="A1446" t="str">
        <f t="shared" si="22"/>
        <v>2024_WA_Bolgart_Chickpea_DetailedTOSTOS1VarietyStrikerWaterTrtIrrigated</v>
      </c>
      <c r="B1446">
        <v>2024040</v>
      </c>
      <c r="C1446" t="s">
        <v>113</v>
      </c>
      <c r="D1446">
        <v>5</v>
      </c>
      <c r="E1446" t="s">
        <v>33</v>
      </c>
      <c r="F1446" t="s">
        <v>125</v>
      </c>
      <c r="G1446" t="s">
        <v>27</v>
      </c>
      <c r="I1446">
        <v>1</v>
      </c>
      <c r="J1446" t="s">
        <v>109</v>
      </c>
      <c r="K1446" s="1">
        <v>45565</v>
      </c>
      <c r="L1446">
        <v>455.6</v>
      </c>
      <c r="M1446">
        <v>49</v>
      </c>
    </row>
    <row r="1447" spans="1:25" hidden="1" x14ac:dyDescent="0.25">
      <c r="A1447" t="str">
        <f t="shared" si="22"/>
        <v>2024_WA_Bolgart_Chickpea_DetailedTOSTOS2VarietyStrikerWaterTrtIrrigated</v>
      </c>
      <c r="B1447">
        <v>2024040</v>
      </c>
      <c r="C1447" t="s">
        <v>113</v>
      </c>
      <c r="D1447">
        <v>5</v>
      </c>
      <c r="E1447" t="s">
        <v>33</v>
      </c>
      <c r="F1447" t="s">
        <v>125</v>
      </c>
      <c r="G1447" t="s">
        <v>27</v>
      </c>
      <c r="I1447">
        <v>2</v>
      </c>
      <c r="J1447" t="s">
        <v>114</v>
      </c>
      <c r="K1447" s="1">
        <v>45572</v>
      </c>
      <c r="L1447">
        <v>176.1</v>
      </c>
      <c r="M1447">
        <v>49</v>
      </c>
    </row>
    <row r="1448" spans="1:25" hidden="1" x14ac:dyDescent="0.25">
      <c r="A1448" t="str">
        <f t="shared" si="22"/>
        <v>2024_WA_Bolgart_Chickpea_DetailedTOSTOS1VarietyStrikerWaterTrtRainFed</v>
      </c>
      <c r="B1448">
        <v>2024040</v>
      </c>
      <c r="C1448" t="s">
        <v>113</v>
      </c>
      <c r="D1448">
        <v>5</v>
      </c>
      <c r="E1448" t="s">
        <v>33</v>
      </c>
      <c r="F1448" t="s">
        <v>125</v>
      </c>
      <c r="G1448" t="s">
        <v>30</v>
      </c>
      <c r="I1448">
        <v>1</v>
      </c>
      <c r="J1448" t="s">
        <v>109</v>
      </c>
      <c r="K1448" s="1">
        <v>45565</v>
      </c>
      <c r="L1448">
        <v>477.2</v>
      </c>
      <c r="M1448">
        <v>49</v>
      </c>
    </row>
    <row r="1449" spans="1:25" hidden="1" x14ac:dyDescent="0.25">
      <c r="A1449" t="str">
        <f t="shared" si="22"/>
        <v>2024_WA_Bolgart_Chickpea_DetailedTOSTOS2VarietyStrikerWaterTrtRainFed</v>
      </c>
      <c r="B1449">
        <v>2024040</v>
      </c>
      <c r="C1449" t="s">
        <v>113</v>
      </c>
      <c r="D1449">
        <v>5</v>
      </c>
      <c r="E1449" t="s">
        <v>33</v>
      </c>
      <c r="F1449" t="s">
        <v>125</v>
      </c>
      <c r="G1449" t="s">
        <v>30</v>
      </c>
      <c r="I1449">
        <v>2</v>
      </c>
      <c r="J1449" t="s">
        <v>114</v>
      </c>
      <c r="K1449" s="1">
        <v>45572</v>
      </c>
      <c r="L1449">
        <v>168.6</v>
      </c>
      <c r="M1449">
        <v>49</v>
      </c>
    </row>
    <row r="1450" spans="1:25" hidden="1" x14ac:dyDescent="0.25">
      <c r="A1450" t="str">
        <f t="shared" si="22"/>
        <v>2024_WA_Bolgart_Chickpea_DetailedTOSTOS1VarietyCBA_CaptainWaterTrtIrrigated</v>
      </c>
      <c r="B1450">
        <v>2024040</v>
      </c>
      <c r="C1450" t="s">
        <v>113</v>
      </c>
      <c r="D1450">
        <v>6</v>
      </c>
      <c r="E1450" t="s">
        <v>34</v>
      </c>
      <c r="F1450" t="s">
        <v>26</v>
      </c>
      <c r="G1450" t="s">
        <v>27</v>
      </c>
      <c r="I1450">
        <v>1</v>
      </c>
      <c r="J1450" t="s">
        <v>109</v>
      </c>
      <c r="K1450" s="1">
        <v>45607</v>
      </c>
      <c r="L1450">
        <v>845.2</v>
      </c>
      <c r="M1450">
        <v>60</v>
      </c>
      <c r="N1450">
        <v>0.33200000000000002</v>
      </c>
      <c r="O1450">
        <v>0.02</v>
      </c>
      <c r="P1450">
        <v>1170</v>
      </c>
      <c r="Q1450">
        <v>130</v>
      </c>
      <c r="T1450">
        <v>1847</v>
      </c>
      <c r="U1450">
        <v>180</v>
      </c>
      <c r="X1450">
        <v>281</v>
      </c>
      <c r="Y1450">
        <v>33</v>
      </c>
    </row>
    <row r="1451" spans="1:25" hidden="1" x14ac:dyDescent="0.25">
      <c r="A1451" t="str">
        <f t="shared" si="22"/>
        <v>2024_WA_Bolgart_Chickpea_DetailedTOSTOS2VarietyCBA_CaptainWaterTrtIrrigated</v>
      </c>
      <c r="B1451">
        <v>2024040</v>
      </c>
      <c r="C1451" t="s">
        <v>113</v>
      </c>
      <c r="D1451">
        <v>6</v>
      </c>
      <c r="E1451" t="s">
        <v>34</v>
      </c>
      <c r="F1451" t="s">
        <v>26</v>
      </c>
      <c r="G1451" t="s">
        <v>27</v>
      </c>
      <c r="I1451">
        <v>2</v>
      </c>
      <c r="J1451" t="s">
        <v>114</v>
      </c>
      <c r="K1451" s="1">
        <v>45614</v>
      </c>
      <c r="L1451">
        <v>500.3</v>
      </c>
      <c r="M1451">
        <v>60</v>
      </c>
      <c r="N1451">
        <v>0.29899999999999999</v>
      </c>
      <c r="O1451">
        <v>0.02</v>
      </c>
      <c r="P1451">
        <v>690</v>
      </c>
      <c r="Q1451">
        <v>130</v>
      </c>
      <c r="T1451">
        <v>1005</v>
      </c>
      <c r="U1451">
        <v>110</v>
      </c>
      <c r="X1451">
        <v>151</v>
      </c>
      <c r="Y1451">
        <v>33</v>
      </c>
    </row>
    <row r="1452" spans="1:25" hidden="1" x14ac:dyDescent="0.25">
      <c r="A1452" t="str">
        <f t="shared" si="22"/>
        <v>2024_WA_Bolgart_Chickpea_DetailedTOSTOS1VarietyCBA_CaptainWaterTrtRainFed</v>
      </c>
      <c r="B1452">
        <v>2024040</v>
      </c>
      <c r="C1452" t="s">
        <v>113</v>
      </c>
      <c r="D1452">
        <v>6</v>
      </c>
      <c r="E1452" t="s">
        <v>34</v>
      </c>
      <c r="F1452" t="s">
        <v>26</v>
      </c>
      <c r="G1452" t="s">
        <v>30</v>
      </c>
      <c r="I1452">
        <v>1</v>
      </c>
      <c r="J1452" t="s">
        <v>109</v>
      </c>
      <c r="K1452" s="1">
        <v>45600</v>
      </c>
      <c r="L1452">
        <v>766.4</v>
      </c>
      <c r="M1452">
        <v>60</v>
      </c>
      <c r="N1452">
        <v>0.33600000000000002</v>
      </c>
      <c r="O1452">
        <v>9.5999999999999992E-3</v>
      </c>
      <c r="P1452">
        <v>982</v>
      </c>
      <c r="Q1452">
        <v>77</v>
      </c>
      <c r="T1452">
        <v>1597</v>
      </c>
      <c r="U1452">
        <v>180</v>
      </c>
      <c r="X1452">
        <v>258</v>
      </c>
      <c r="Y1452">
        <v>17</v>
      </c>
    </row>
    <row r="1453" spans="1:25" hidden="1" x14ac:dyDescent="0.25">
      <c r="A1453" t="str">
        <f t="shared" si="22"/>
        <v>2024_WA_Bolgart_Chickpea_DetailedTOSTOS2VarietyCBA_CaptainWaterTrtRainFed</v>
      </c>
      <c r="B1453">
        <v>2024040</v>
      </c>
      <c r="C1453" t="s">
        <v>113</v>
      </c>
      <c r="D1453">
        <v>6</v>
      </c>
      <c r="E1453" t="s">
        <v>34</v>
      </c>
      <c r="F1453" t="s">
        <v>26</v>
      </c>
      <c r="G1453" t="s">
        <v>30</v>
      </c>
      <c r="I1453">
        <v>2</v>
      </c>
      <c r="J1453" t="s">
        <v>114</v>
      </c>
      <c r="K1453" s="1">
        <v>45607</v>
      </c>
      <c r="L1453">
        <v>554.6</v>
      </c>
      <c r="M1453">
        <v>60</v>
      </c>
      <c r="N1453">
        <v>0.36099999999999999</v>
      </c>
      <c r="O1453">
        <v>9.5999999999999992E-3</v>
      </c>
      <c r="P1453">
        <v>792</v>
      </c>
      <c r="Q1453">
        <v>77</v>
      </c>
      <c r="T1453">
        <v>1320</v>
      </c>
      <c r="U1453">
        <v>110</v>
      </c>
      <c r="X1453">
        <v>203</v>
      </c>
      <c r="Y1453">
        <v>17</v>
      </c>
    </row>
    <row r="1454" spans="1:25" hidden="1" x14ac:dyDescent="0.25">
      <c r="A1454" t="str">
        <f t="shared" si="22"/>
        <v>2024_WA_Bolgart_Chickpea_DetailedTOSTOS1VarietyDrummondWaterTrtIrrigated</v>
      </c>
      <c r="B1454">
        <v>2024040</v>
      </c>
      <c r="C1454" t="s">
        <v>113</v>
      </c>
      <c r="D1454">
        <v>6</v>
      </c>
      <c r="E1454" t="s">
        <v>34</v>
      </c>
      <c r="F1454" t="s">
        <v>123</v>
      </c>
      <c r="G1454" t="s">
        <v>27</v>
      </c>
      <c r="I1454">
        <v>1</v>
      </c>
      <c r="J1454" t="s">
        <v>109</v>
      </c>
      <c r="K1454" s="1">
        <v>45607</v>
      </c>
      <c r="L1454">
        <v>756.1</v>
      </c>
      <c r="M1454">
        <v>60</v>
      </c>
      <c r="N1454">
        <v>0.28599999999999998</v>
      </c>
      <c r="O1454">
        <v>0.02</v>
      </c>
      <c r="P1454">
        <v>1027</v>
      </c>
      <c r="Q1454">
        <v>130</v>
      </c>
      <c r="T1454">
        <v>1501</v>
      </c>
      <c r="U1454">
        <v>180</v>
      </c>
      <c r="X1454">
        <v>218</v>
      </c>
      <c r="Y1454">
        <v>33</v>
      </c>
    </row>
    <row r="1455" spans="1:25" hidden="1" x14ac:dyDescent="0.25">
      <c r="A1455" t="str">
        <f t="shared" si="22"/>
        <v>2024_WA_Bolgart_Chickpea_DetailedTOSTOS2VarietyDrummondWaterTrtIrrigated</v>
      </c>
      <c r="B1455">
        <v>2024040</v>
      </c>
      <c r="C1455" t="s">
        <v>113</v>
      </c>
      <c r="D1455">
        <v>6</v>
      </c>
      <c r="E1455" t="s">
        <v>34</v>
      </c>
      <c r="F1455" t="s">
        <v>123</v>
      </c>
      <c r="G1455" t="s">
        <v>27</v>
      </c>
      <c r="I1455">
        <v>2</v>
      </c>
      <c r="J1455" t="s">
        <v>114</v>
      </c>
      <c r="K1455" s="1">
        <v>45614</v>
      </c>
      <c r="L1455">
        <v>488</v>
      </c>
      <c r="M1455">
        <v>60</v>
      </c>
      <c r="N1455">
        <v>0.27200000000000002</v>
      </c>
      <c r="O1455">
        <v>0.02</v>
      </c>
      <c r="P1455">
        <v>642</v>
      </c>
      <c r="Q1455">
        <v>130</v>
      </c>
      <c r="T1455">
        <v>940</v>
      </c>
      <c r="U1455">
        <v>110</v>
      </c>
      <c r="X1455">
        <v>140</v>
      </c>
      <c r="Y1455">
        <v>33</v>
      </c>
    </row>
    <row r="1456" spans="1:25" hidden="1" x14ac:dyDescent="0.25">
      <c r="A1456" t="str">
        <f t="shared" si="22"/>
        <v>2024_WA_Bolgart_Chickpea_DetailedTOSTOS1VarietyDrummondWaterTrtRainFed</v>
      </c>
      <c r="B1456">
        <v>2024040</v>
      </c>
      <c r="C1456" t="s">
        <v>113</v>
      </c>
      <c r="D1456">
        <v>6</v>
      </c>
      <c r="E1456" t="s">
        <v>34</v>
      </c>
      <c r="F1456" t="s">
        <v>123</v>
      </c>
      <c r="G1456" t="s">
        <v>30</v>
      </c>
      <c r="I1456">
        <v>1</v>
      </c>
      <c r="J1456" t="s">
        <v>109</v>
      </c>
      <c r="K1456" s="1">
        <v>45600</v>
      </c>
      <c r="L1456">
        <v>777.1</v>
      </c>
      <c r="M1456">
        <v>60</v>
      </c>
      <c r="N1456">
        <v>0.33100000000000002</v>
      </c>
      <c r="O1456">
        <v>9.5999999999999992E-3</v>
      </c>
      <c r="P1456">
        <v>927</v>
      </c>
      <c r="Q1456">
        <v>77</v>
      </c>
      <c r="T1456">
        <v>1422</v>
      </c>
      <c r="U1456">
        <v>180</v>
      </c>
      <c r="X1456">
        <v>257</v>
      </c>
      <c r="Y1456">
        <v>17</v>
      </c>
    </row>
    <row r="1457" spans="1:25" hidden="1" x14ac:dyDescent="0.25">
      <c r="A1457" t="str">
        <f t="shared" si="22"/>
        <v>2024_WA_Bolgart_Chickpea_DetailedTOSTOS2VarietyDrummondWaterTrtRainFed</v>
      </c>
      <c r="B1457">
        <v>2024040</v>
      </c>
      <c r="C1457" t="s">
        <v>113</v>
      </c>
      <c r="D1457">
        <v>6</v>
      </c>
      <c r="E1457" t="s">
        <v>34</v>
      </c>
      <c r="F1457" t="s">
        <v>123</v>
      </c>
      <c r="G1457" t="s">
        <v>30</v>
      </c>
      <c r="I1457">
        <v>2</v>
      </c>
      <c r="J1457" t="s">
        <v>114</v>
      </c>
      <c r="K1457" s="1">
        <v>45607</v>
      </c>
      <c r="L1457">
        <v>587.5</v>
      </c>
      <c r="M1457">
        <v>60</v>
      </c>
      <c r="N1457">
        <v>0.36899999999999999</v>
      </c>
      <c r="O1457">
        <v>9.5999999999999992E-3</v>
      </c>
      <c r="P1457">
        <v>780</v>
      </c>
      <c r="Q1457">
        <v>77</v>
      </c>
      <c r="T1457">
        <v>1289</v>
      </c>
      <c r="U1457">
        <v>110</v>
      </c>
      <c r="X1457">
        <v>217</v>
      </c>
      <c r="Y1457">
        <v>17</v>
      </c>
    </row>
    <row r="1458" spans="1:25" hidden="1" x14ac:dyDescent="0.25">
      <c r="A1458" t="str">
        <f t="shared" si="22"/>
        <v>2024_WA_Bolgart_Chickpea_DetailedTOSTOS1VarietyHatTrickWaterTrtIrrigated</v>
      </c>
      <c r="B1458">
        <v>2024040</v>
      </c>
      <c r="C1458" t="s">
        <v>113</v>
      </c>
      <c r="D1458">
        <v>6</v>
      </c>
      <c r="E1458" t="s">
        <v>34</v>
      </c>
      <c r="F1458" t="s">
        <v>124</v>
      </c>
      <c r="G1458" t="s">
        <v>27</v>
      </c>
      <c r="I1458">
        <v>1</v>
      </c>
      <c r="J1458" t="s">
        <v>109</v>
      </c>
      <c r="K1458" s="1">
        <v>45607</v>
      </c>
      <c r="L1458">
        <v>839.7</v>
      </c>
      <c r="M1458">
        <v>60</v>
      </c>
      <c r="N1458">
        <v>0.28899999999999998</v>
      </c>
      <c r="O1458">
        <v>0.02</v>
      </c>
      <c r="P1458">
        <v>1612</v>
      </c>
      <c r="Q1458">
        <v>130</v>
      </c>
      <c r="T1458">
        <v>1759</v>
      </c>
      <c r="U1458">
        <v>180</v>
      </c>
      <c r="X1458">
        <v>245</v>
      </c>
      <c r="Y1458">
        <v>33</v>
      </c>
    </row>
    <row r="1459" spans="1:25" hidden="1" x14ac:dyDescent="0.25">
      <c r="A1459" t="str">
        <f t="shared" si="22"/>
        <v>2024_WA_Bolgart_Chickpea_DetailedTOSTOS2VarietyHatTrickWaterTrtIrrigated</v>
      </c>
      <c r="B1459">
        <v>2024040</v>
      </c>
      <c r="C1459" t="s">
        <v>113</v>
      </c>
      <c r="D1459">
        <v>6</v>
      </c>
      <c r="E1459" t="s">
        <v>34</v>
      </c>
      <c r="F1459" t="s">
        <v>124</v>
      </c>
      <c r="G1459" t="s">
        <v>27</v>
      </c>
      <c r="I1459">
        <v>2</v>
      </c>
      <c r="J1459" t="s">
        <v>114</v>
      </c>
      <c r="K1459" s="1">
        <v>45614</v>
      </c>
      <c r="L1459">
        <v>454.3</v>
      </c>
      <c r="M1459">
        <v>60</v>
      </c>
      <c r="N1459">
        <v>0.23400000000000001</v>
      </c>
      <c r="O1459">
        <v>0.02</v>
      </c>
      <c r="P1459">
        <v>896</v>
      </c>
      <c r="Q1459">
        <v>130</v>
      </c>
      <c r="T1459">
        <v>830</v>
      </c>
      <c r="U1459">
        <v>110</v>
      </c>
      <c r="X1459">
        <v>109</v>
      </c>
      <c r="Y1459">
        <v>33</v>
      </c>
    </row>
    <row r="1460" spans="1:25" hidden="1" x14ac:dyDescent="0.25">
      <c r="A1460" t="str">
        <f t="shared" si="22"/>
        <v>2024_WA_Bolgart_Chickpea_DetailedTOSTOS1VarietyHatTrickWaterTrtRainFed</v>
      </c>
      <c r="B1460">
        <v>2024040</v>
      </c>
      <c r="C1460" t="s">
        <v>113</v>
      </c>
      <c r="D1460">
        <v>6</v>
      </c>
      <c r="E1460" t="s">
        <v>34</v>
      </c>
      <c r="F1460" t="s">
        <v>124</v>
      </c>
      <c r="G1460" t="s">
        <v>30</v>
      </c>
      <c r="I1460">
        <v>1</v>
      </c>
      <c r="J1460" t="s">
        <v>109</v>
      </c>
      <c r="K1460" s="1">
        <v>45600</v>
      </c>
      <c r="L1460">
        <v>777.1</v>
      </c>
      <c r="M1460">
        <v>60</v>
      </c>
      <c r="N1460">
        <v>0.32400000000000001</v>
      </c>
      <c r="O1460">
        <v>9.5999999999999992E-3</v>
      </c>
      <c r="P1460">
        <v>1381</v>
      </c>
      <c r="Q1460">
        <v>77</v>
      </c>
      <c r="T1460">
        <v>1539</v>
      </c>
      <c r="U1460">
        <v>180</v>
      </c>
      <c r="X1460">
        <v>252</v>
      </c>
      <c r="Y1460">
        <v>17</v>
      </c>
    </row>
    <row r="1461" spans="1:25" hidden="1" x14ac:dyDescent="0.25">
      <c r="A1461" t="str">
        <f t="shared" si="22"/>
        <v>2024_WA_Bolgart_Chickpea_DetailedTOSTOS2VarietyHatTrickWaterTrtRainFed</v>
      </c>
      <c r="B1461">
        <v>2024040</v>
      </c>
      <c r="C1461" t="s">
        <v>113</v>
      </c>
      <c r="D1461">
        <v>6</v>
      </c>
      <c r="E1461" t="s">
        <v>34</v>
      </c>
      <c r="F1461" t="s">
        <v>124</v>
      </c>
      <c r="G1461" t="s">
        <v>30</v>
      </c>
      <c r="I1461">
        <v>2</v>
      </c>
      <c r="J1461" t="s">
        <v>114</v>
      </c>
      <c r="K1461" s="1">
        <v>45607</v>
      </c>
      <c r="L1461">
        <v>478.9</v>
      </c>
      <c r="M1461">
        <v>60</v>
      </c>
      <c r="N1461">
        <v>0.32100000000000001</v>
      </c>
      <c r="O1461">
        <v>9.5999999999999992E-3</v>
      </c>
      <c r="P1461">
        <v>873</v>
      </c>
      <c r="Q1461">
        <v>77</v>
      </c>
      <c r="T1461">
        <v>1124</v>
      </c>
      <c r="U1461">
        <v>110</v>
      </c>
      <c r="X1461">
        <v>154</v>
      </c>
      <c r="Y1461">
        <v>17</v>
      </c>
    </row>
    <row r="1462" spans="1:25" hidden="1" x14ac:dyDescent="0.25">
      <c r="A1462" t="str">
        <f t="shared" si="22"/>
        <v>2024_WA_Bolgart_Chickpea_DetailedTOSTOS1VarietyStrikerWaterTrtIrrigated</v>
      </c>
      <c r="B1462">
        <v>2024040</v>
      </c>
      <c r="C1462" t="s">
        <v>113</v>
      </c>
      <c r="D1462">
        <v>6</v>
      </c>
      <c r="E1462" t="s">
        <v>34</v>
      </c>
      <c r="F1462" t="s">
        <v>125</v>
      </c>
      <c r="G1462" t="s">
        <v>27</v>
      </c>
      <c r="I1462">
        <v>1</v>
      </c>
      <c r="J1462" t="s">
        <v>109</v>
      </c>
      <c r="K1462" s="1">
        <v>45607</v>
      </c>
      <c r="L1462">
        <v>930.9</v>
      </c>
      <c r="M1462">
        <v>60</v>
      </c>
      <c r="N1462">
        <v>0.34699999999999998</v>
      </c>
      <c r="O1462">
        <v>0.02</v>
      </c>
      <c r="P1462">
        <v>1441</v>
      </c>
      <c r="Q1462">
        <v>130</v>
      </c>
      <c r="T1462">
        <v>1764</v>
      </c>
      <c r="U1462">
        <v>180</v>
      </c>
      <c r="X1462">
        <v>325</v>
      </c>
      <c r="Y1462">
        <v>33</v>
      </c>
    </row>
    <row r="1463" spans="1:25" hidden="1" x14ac:dyDescent="0.25">
      <c r="A1463" t="str">
        <f t="shared" si="22"/>
        <v>2024_WA_Bolgart_Chickpea_DetailedTOSTOS2VarietyStrikerWaterTrtIrrigated</v>
      </c>
      <c r="B1463">
        <v>2024040</v>
      </c>
      <c r="C1463" t="s">
        <v>113</v>
      </c>
      <c r="D1463">
        <v>6</v>
      </c>
      <c r="E1463" t="s">
        <v>34</v>
      </c>
      <c r="F1463" t="s">
        <v>125</v>
      </c>
      <c r="G1463" t="s">
        <v>27</v>
      </c>
      <c r="I1463">
        <v>2</v>
      </c>
      <c r="J1463" t="s">
        <v>114</v>
      </c>
      <c r="K1463" s="1">
        <v>45614</v>
      </c>
      <c r="L1463">
        <v>502.3</v>
      </c>
      <c r="M1463">
        <v>60</v>
      </c>
      <c r="N1463">
        <v>0.252</v>
      </c>
      <c r="O1463">
        <v>2.3E-2</v>
      </c>
      <c r="P1463">
        <v>558</v>
      </c>
      <c r="Q1463">
        <v>150</v>
      </c>
      <c r="T1463">
        <v>609</v>
      </c>
      <c r="U1463">
        <v>130</v>
      </c>
      <c r="X1463">
        <v>151</v>
      </c>
      <c r="Y1463">
        <v>33</v>
      </c>
    </row>
    <row r="1464" spans="1:25" hidden="1" x14ac:dyDescent="0.25">
      <c r="A1464" t="str">
        <f t="shared" si="22"/>
        <v>2024_WA_Bolgart_Chickpea_DetailedTOSTOS1VarietyStrikerWaterTrtRainFed</v>
      </c>
      <c r="B1464">
        <v>2024040</v>
      </c>
      <c r="C1464" t="s">
        <v>113</v>
      </c>
      <c r="D1464">
        <v>6</v>
      </c>
      <c r="E1464" t="s">
        <v>34</v>
      </c>
      <c r="F1464" t="s">
        <v>125</v>
      </c>
      <c r="G1464" t="s">
        <v>30</v>
      </c>
      <c r="I1464">
        <v>1</v>
      </c>
      <c r="J1464" t="s">
        <v>109</v>
      </c>
      <c r="K1464" s="1">
        <v>45600</v>
      </c>
      <c r="L1464">
        <v>718.2</v>
      </c>
      <c r="M1464">
        <v>60</v>
      </c>
      <c r="N1464">
        <v>0.34100000000000003</v>
      </c>
      <c r="O1464">
        <v>9.5999999999999992E-3</v>
      </c>
      <c r="P1464">
        <v>1026</v>
      </c>
      <c r="Q1464">
        <v>77</v>
      </c>
      <c r="T1464">
        <v>1363</v>
      </c>
      <c r="U1464">
        <v>180</v>
      </c>
      <c r="X1464">
        <v>247</v>
      </c>
      <c r="Y1464">
        <v>17</v>
      </c>
    </row>
    <row r="1465" spans="1:25" hidden="1" x14ac:dyDescent="0.25">
      <c r="A1465" t="str">
        <f t="shared" si="22"/>
        <v>2024_WA_Bolgart_Chickpea_DetailedTOSTOS2VarietyStrikerWaterTrtRainFed</v>
      </c>
      <c r="B1465">
        <v>2024040</v>
      </c>
      <c r="C1465" t="s">
        <v>113</v>
      </c>
      <c r="D1465">
        <v>6</v>
      </c>
      <c r="E1465" t="s">
        <v>34</v>
      </c>
      <c r="F1465" t="s">
        <v>125</v>
      </c>
      <c r="G1465" t="s">
        <v>30</v>
      </c>
      <c r="I1465">
        <v>2</v>
      </c>
      <c r="J1465" t="s">
        <v>114</v>
      </c>
      <c r="K1465" s="1">
        <v>45607</v>
      </c>
      <c r="L1465">
        <v>475.9</v>
      </c>
      <c r="M1465">
        <v>60</v>
      </c>
      <c r="N1465">
        <v>0.33700000000000002</v>
      </c>
      <c r="O1465">
        <v>9.5999999999999992E-3</v>
      </c>
      <c r="P1465">
        <v>778</v>
      </c>
      <c r="Q1465">
        <v>77</v>
      </c>
      <c r="T1465">
        <v>1010</v>
      </c>
      <c r="U1465">
        <v>110</v>
      </c>
      <c r="X1465">
        <v>162</v>
      </c>
      <c r="Y1465">
        <v>17</v>
      </c>
    </row>
    <row r="1466" spans="1:25" hidden="1" x14ac:dyDescent="0.25">
      <c r="A1466" t="str">
        <f t="shared" si="22"/>
        <v>2024_SA_Warnertown_Fababean_SatelliteTOSTOS1VarietyAmberleyWaterTrtRainFedAgronomyDensity_0.66</v>
      </c>
      <c r="B1466">
        <v>2024042</v>
      </c>
      <c r="C1466" t="s">
        <v>115</v>
      </c>
      <c r="D1466">
        <v>6</v>
      </c>
      <c r="E1466" t="s">
        <v>34</v>
      </c>
      <c r="F1466" t="s">
        <v>126</v>
      </c>
      <c r="G1466" t="s">
        <v>30</v>
      </c>
      <c r="H1466" t="s">
        <v>63</v>
      </c>
      <c r="I1466">
        <v>1</v>
      </c>
      <c r="J1466" t="s">
        <v>116</v>
      </c>
      <c r="K1466" s="1">
        <v>45555</v>
      </c>
      <c r="L1466">
        <v>251.5</v>
      </c>
      <c r="M1466">
        <v>38</v>
      </c>
      <c r="N1466">
        <v>0.2</v>
      </c>
      <c r="O1466">
        <v>2.4E-2</v>
      </c>
      <c r="R1466">
        <v>15.4</v>
      </c>
      <c r="S1466">
        <v>1.9</v>
      </c>
      <c r="T1466">
        <v>155.1</v>
      </c>
      <c r="U1466">
        <v>27</v>
      </c>
      <c r="V1466">
        <v>325.60000000000002</v>
      </c>
      <c r="W1466">
        <v>33</v>
      </c>
      <c r="X1466">
        <v>52</v>
      </c>
      <c r="Y1466">
        <v>16</v>
      </c>
    </row>
    <row r="1467" spans="1:25" hidden="1" x14ac:dyDescent="0.25">
      <c r="A1467" t="str">
        <f t="shared" si="22"/>
        <v>2024_SA_Warnertown_Fababean_SatelliteTOSTOS2VarietyAmberleyWaterTrtRainFedAgronomyDensity_0.66</v>
      </c>
      <c r="B1467">
        <v>2024042</v>
      </c>
      <c r="C1467" t="s">
        <v>115</v>
      </c>
      <c r="D1467">
        <v>6</v>
      </c>
      <c r="E1467" t="s">
        <v>34</v>
      </c>
      <c r="F1467" t="s">
        <v>126</v>
      </c>
      <c r="G1467" t="s">
        <v>30</v>
      </c>
      <c r="H1467" t="s">
        <v>63</v>
      </c>
      <c r="I1467">
        <v>2</v>
      </c>
      <c r="J1467" t="s">
        <v>106</v>
      </c>
      <c r="K1467" s="1">
        <v>45581</v>
      </c>
      <c r="L1467">
        <v>185.7</v>
      </c>
      <c r="M1467">
        <v>38</v>
      </c>
      <c r="N1467">
        <v>0.4</v>
      </c>
      <c r="O1467">
        <v>2.4E-2</v>
      </c>
      <c r="R1467">
        <v>19</v>
      </c>
      <c r="S1467">
        <v>1.9</v>
      </c>
      <c r="T1467">
        <v>147.69999999999999</v>
      </c>
      <c r="U1467">
        <v>27</v>
      </c>
      <c r="V1467">
        <v>530.5</v>
      </c>
      <c r="W1467">
        <v>33</v>
      </c>
      <c r="X1467">
        <v>80</v>
      </c>
      <c r="Y1467">
        <v>16</v>
      </c>
    </row>
    <row r="1468" spans="1:25" hidden="1" x14ac:dyDescent="0.25">
      <c r="A1468" t="str">
        <f t="shared" si="22"/>
        <v>2024_SA_Warnertown_Fababean_SatelliteTOSTOS1VarietyAmberleyWaterTrtRainFedAgronomyDensity_1</v>
      </c>
      <c r="B1468">
        <v>2024042</v>
      </c>
      <c r="C1468" t="s">
        <v>115</v>
      </c>
      <c r="D1468">
        <v>6</v>
      </c>
      <c r="E1468" t="s">
        <v>34</v>
      </c>
      <c r="F1468" t="s">
        <v>126</v>
      </c>
      <c r="G1468" t="s">
        <v>30</v>
      </c>
      <c r="H1468" t="s">
        <v>65</v>
      </c>
      <c r="I1468">
        <v>1</v>
      </c>
      <c r="J1468" t="s">
        <v>116</v>
      </c>
      <c r="K1468" s="1">
        <v>45555</v>
      </c>
      <c r="L1468">
        <v>275.3</v>
      </c>
      <c r="M1468">
        <v>38</v>
      </c>
      <c r="N1468">
        <v>0.2</v>
      </c>
      <c r="O1468">
        <v>2.4E-2</v>
      </c>
      <c r="R1468">
        <v>23.9</v>
      </c>
      <c r="S1468">
        <v>1.9</v>
      </c>
      <c r="T1468">
        <v>160.4</v>
      </c>
      <c r="U1468">
        <v>27</v>
      </c>
      <c r="V1468">
        <v>310.7</v>
      </c>
      <c r="W1468">
        <v>33</v>
      </c>
      <c r="X1468">
        <v>56</v>
      </c>
      <c r="Y1468">
        <v>16</v>
      </c>
    </row>
    <row r="1469" spans="1:25" hidden="1" x14ac:dyDescent="0.25">
      <c r="A1469" t="str">
        <f t="shared" si="22"/>
        <v>2024_SA_Warnertown_Fababean_SatelliteTOSTOS2VarietyAmberleyWaterTrtRainFedAgronomyDensity_1</v>
      </c>
      <c r="B1469">
        <v>2024042</v>
      </c>
      <c r="C1469" t="s">
        <v>115</v>
      </c>
      <c r="D1469">
        <v>6</v>
      </c>
      <c r="E1469" t="s">
        <v>34</v>
      </c>
      <c r="F1469" t="s">
        <v>126</v>
      </c>
      <c r="G1469" t="s">
        <v>30</v>
      </c>
      <c r="H1469" t="s">
        <v>65</v>
      </c>
      <c r="I1469">
        <v>2</v>
      </c>
      <c r="J1469" t="s">
        <v>106</v>
      </c>
      <c r="K1469" s="1">
        <v>45581</v>
      </c>
      <c r="L1469">
        <v>190.6</v>
      </c>
      <c r="M1469">
        <v>38</v>
      </c>
      <c r="N1469">
        <v>0.4</v>
      </c>
      <c r="O1469">
        <v>2.4E-2</v>
      </c>
      <c r="R1469">
        <v>26.4</v>
      </c>
      <c r="S1469">
        <v>1.9</v>
      </c>
      <c r="T1469">
        <v>124.1</v>
      </c>
      <c r="U1469">
        <v>27</v>
      </c>
      <c r="V1469">
        <v>575.4</v>
      </c>
      <c r="W1469">
        <v>34</v>
      </c>
      <c r="X1469">
        <v>73</v>
      </c>
      <c r="Y1469">
        <v>16</v>
      </c>
    </row>
    <row r="1470" spans="1:25" hidden="1" x14ac:dyDescent="0.25">
      <c r="A1470" t="str">
        <f t="shared" si="22"/>
        <v>2024_SA_Warnertown_Fababean_SatelliteTOSTOS1VarietyMarneWaterTrtRainFedAgronomyDensity_0.66</v>
      </c>
      <c r="B1470">
        <v>2024042</v>
      </c>
      <c r="C1470" t="s">
        <v>115</v>
      </c>
      <c r="D1470">
        <v>6</v>
      </c>
      <c r="E1470" t="s">
        <v>34</v>
      </c>
      <c r="F1470" t="s">
        <v>127</v>
      </c>
      <c r="G1470" t="s">
        <v>30</v>
      </c>
      <c r="H1470" t="s">
        <v>63</v>
      </c>
      <c r="I1470">
        <v>1</v>
      </c>
      <c r="J1470" t="s">
        <v>116</v>
      </c>
      <c r="K1470" s="1">
        <v>45555</v>
      </c>
      <c r="L1470">
        <v>284</v>
      </c>
      <c r="M1470">
        <v>38</v>
      </c>
      <c r="N1470">
        <v>0.4</v>
      </c>
      <c r="O1470">
        <v>2.4E-2</v>
      </c>
      <c r="R1470">
        <v>19.399999999999999</v>
      </c>
      <c r="S1470">
        <v>1.9</v>
      </c>
      <c r="T1470">
        <v>239.3</v>
      </c>
      <c r="U1470">
        <v>27</v>
      </c>
      <c r="V1470">
        <v>484.4</v>
      </c>
      <c r="W1470">
        <v>33</v>
      </c>
      <c r="X1470">
        <v>116</v>
      </c>
      <c r="Y1470">
        <v>16</v>
      </c>
    </row>
    <row r="1471" spans="1:25" hidden="1" x14ac:dyDescent="0.25">
      <c r="A1471" t="str">
        <f t="shared" si="22"/>
        <v>2024_SA_Warnertown_Fababean_SatelliteTOSTOS2VarietyMarneWaterTrtRainFedAgronomyDensity_0.66</v>
      </c>
      <c r="B1471">
        <v>2024042</v>
      </c>
      <c r="C1471" t="s">
        <v>115</v>
      </c>
      <c r="D1471">
        <v>6</v>
      </c>
      <c r="E1471" t="s">
        <v>34</v>
      </c>
      <c r="F1471" t="s">
        <v>127</v>
      </c>
      <c r="G1471" t="s">
        <v>30</v>
      </c>
      <c r="H1471" t="s">
        <v>63</v>
      </c>
      <c r="I1471">
        <v>2</v>
      </c>
      <c r="J1471" t="s">
        <v>106</v>
      </c>
      <c r="K1471" s="1">
        <v>45581</v>
      </c>
      <c r="L1471">
        <v>170.2</v>
      </c>
      <c r="M1471">
        <v>38</v>
      </c>
      <c r="N1471">
        <v>0.5</v>
      </c>
      <c r="O1471">
        <v>2.4E-2</v>
      </c>
      <c r="R1471">
        <v>17.899999999999999</v>
      </c>
      <c r="S1471">
        <v>1.9</v>
      </c>
      <c r="T1471">
        <v>181</v>
      </c>
      <c r="U1471">
        <v>27</v>
      </c>
      <c r="V1471">
        <v>512.29999999999995</v>
      </c>
      <c r="W1471">
        <v>33</v>
      </c>
      <c r="X1471">
        <v>91</v>
      </c>
      <c r="Y1471">
        <v>16</v>
      </c>
    </row>
    <row r="1472" spans="1:25" hidden="1" x14ac:dyDescent="0.25">
      <c r="A1472" t="str">
        <f t="shared" si="22"/>
        <v>2024_SA_Warnertown_Fababean_SatelliteTOSTOS1VarietyMarneWaterTrtRainFedAgronomyDensity_1</v>
      </c>
      <c r="B1472">
        <v>2024042</v>
      </c>
      <c r="C1472" t="s">
        <v>115</v>
      </c>
      <c r="D1472">
        <v>6</v>
      </c>
      <c r="E1472" t="s">
        <v>34</v>
      </c>
      <c r="F1472" t="s">
        <v>127</v>
      </c>
      <c r="G1472" t="s">
        <v>30</v>
      </c>
      <c r="H1472" t="s">
        <v>65</v>
      </c>
      <c r="I1472">
        <v>1</v>
      </c>
      <c r="J1472" t="s">
        <v>116</v>
      </c>
      <c r="K1472" s="1">
        <v>45555</v>
      </c>
      <c r="L1472">
        <v>276.10000000000002</v>
      </c>
      <c r="M1472">
        <v>38</v>
      </c>
      <c r="N1472">
        <v>0.4</v>
      </c>
      <c r="O1472">
        <v>2.4E-2</v>
      </c>
      <c r="R1472">
        <v>26.6</v>
      </c>
      <c r="S1472">
        <v>1.9</v>
      </c>
      <c r="T1472">
        <v>212.2</v>
      </c>
      <c r="U1472">
        <v>27</v>
      </c>
      <c r="V1472">
        <v>453.1</v>
      </c>
      <c r="W1472">
        <v>34</v>
      </c>
      <c r="X1472">
        <v>97</v>
      </c>
      <c r="Y1472">
        <v>16</v>
      </c>
    </row>
    <row r="1473" spans="1:25" hidden="1" x14ac:dyDescent="0.25">
      <c r="A1473" t="str">
        <f t="shared" si="22"/>
        <v>2024_SA_Warnertown_Fababean_SatelliteTOSTOS2VarietyMarneWaterTrtRainFedAgronomyDensity_1</v>
      </c>
      <c r="B1473">
        <v>2024042</v>
      </c>
      <c r="C1473" t="s">
        <v>115</v>
      </c>
      <c r="D1473">
        <v>6</v>
      </c>
      <c r="E1473" t="s">
        <v>34</v>
      </c>
      <c r="F1473" t="s">
        <v>127</v>
      </c>
      <c r="G1473" t="s">
        <v>30</v>
      </c>
      <c r="H1473" t="s">
        <v>65</v>
      </c>
      <c r="I1473">
        <v>2</v>
      </c>
      <c r="J1473" t="s">
        <v>106</v>
      </c>
      <c r="K1473" s="1">
        <v>45581</v>
      </c>
      <c r="L1473">
        <v>167.6</v>
      </c>
      <c r="M1473">
        <v>38</v>
      </c>
      <c r="N1473">
        <v>0.5</v>
      </c>
      <c r="O1473">
        <v>2.4E-2</v>
      </c>
      <c r="R1473">
        <v>25.9</v>
      </c>
      <c r="S1473">
        <v>1.9</v>
      </c>
      <c r="T1473">
        <v>152</v>
      </c>
      <c r="U1473">
        <v>27</v>
      </c>
      <c r="V1473">
        <v>585.20000000000005</v>
      </c>
      <c r="W1473">
        <v>34</v>
      </c>
      <c r="X1473">
        <v>87</v>
      </c>
      <c r="Y1473">
        <v>16</v>
      </c>
    </row>
    <row r="1474" spans="1:25" hidden="1" x14ac:dyDescent="0.25">
      <c r="A1474" t="str">
        <f t="shared" si="22"/>
        <v>2024_SA_Warnertown_Fababean_SatelliteTOSTOS1VarietyNasmaWaterTrtRainFedAgronomyDensity_1</v>
      </c>
      <c r="B1474">
        <v>2024042</v>
      </c>
      <c r="C1474" t="s">
        <v>115</v>
      </c>
      <c r="D1474">
        <v>6</v>
      </c>
      <c r="E1474" t="s">
        <v>34</v>
      </c>
      <c r="F1474" t="s">
        <v>128</v>
      </c>
      <c r="G1474" t="s">
        <v>30</v>
      </c>
      <c r="H1474" t="s">
        <v>65</v>
      </c>
      <c r="I1474">
        <v>1</v>
      </c>
      <c r="J1474" t="s">
        <v>116</v>
      </c>
      <c r="K1474" s="1">
        <v>45555</v>
      </c>
      <c r="L1474">
        <v>291.3</v>
      </c>
      <c r="M1474">
        <v>38</v>
      </c>
      <c r="N1474">
        <v>0.4</v>
      </c>
      <c r="O1474">
        <v>2.4E-2</v>
      </c>
      <c r="R1474">
        <v>21.7</v>
      </c>
      <c r="S1474">
        <v>1.9</v>
      </c>
      <c r="T1474">
        <v>225.2</v>
      </c>
      <c r="U1474">
        <v>27</v>
      </c>
      <c r="V1474">
        <v>500.3</v>
      </c>
      <c r="W1474">
        <v>33</v>
      </c>
      <c r="X1474">
        <v>116</v>
      </c>
      <c r="Y1474">
        <v>16</v>
      </c>
    </row>
    <row r="1475" spans="1:25" hidden="1" x14ac:dyDescent="0.25">
      <c r="A1475" t="str">
        <f t="shared" ref="A1475:A1505" si="23">C1475&amp;"TOSTOS"&amp;I1475&amp;"Variety"&amp;F1475&amp;"WaterTrt"&amp;G1475&amp;IF(H1475="","","Agronomy"&amp;H1475)</f>
        <v>2024_SA_Warnertown_Fababean_SatelliteTOSTOS2VarietyNasmaWaterTrtRainFedAgronomyDensity_1</v>
      </c>
      <c r="B1475">
        <v>2024042</v>
      </c>
      <c r="C1475" t="s">
        <v>115</v>
      </c>
      <c r="D1475">
        <v>6</v>
      </c>
      <c r="E1475" t="s">
        <v>34</v>
      </c>
      <c r="F1475" t="s">
        <v>128</v>
      </c>
      <c r="G1475" t="s">
        <v>30</v>
      </c>
      <c r="H1475" t="s">
        <v>65</v>
      </c>
      <c r="I1475">
        <v>2</v>
      </c>
      <c r="J1475" t="s">
        <v>106</v>
      </c>
      <c r="K1475" s="1">
        <v>45581</v>
      </c>
      <c r="L1475">
        <v>213.2</v>
      </c>
      <c r="M1475">
        <v>38</v>
      </c>
      <c r="N1475">
        <v>0.4</v>
      </c>
      <c r="O1475">
        <v>2.4E-2</v>
      </c>
      <c r="R1475">
        <v>29.9</v>
      </c>
      <c r="S1475">
        <v>1.9</v>
      </c>
      <c r="T1475">
        <v>164.5</v>
      </c>
      <c r="U1475">
        <v>27</v>
      </c>
      <c r="V1475">
        <v>539.70000000000005</v>
      </c>
      <c r="W1475">
        <v>33</v>
      </c>
      <c r="X1475">
        <v>89</v>
      </c>
      <c r="Y1475">
        <v>16</v>
      </c>
    </row>
    <row r="1476" spans="1:25" hidden="1" x14ac:dyDescent="0.25">
      <c r="A1476" t="str">
        <f t="shared" si="23"/>
        <v>2024_SA_Warnertown_Fababean_SatelliteTOSTOS1VarietySamiraWaterTrtRainFedAgronomyDensity_1</v>
      </c>
      <c r="B1476">
        <v>2024042</v>
      </c>
      <c r="C1476" t="s">
        <v>115</v>
      </c>
      <c r="D1476">
        <v>6</v>
      </c>
      <c r="E1476" t="s">
        <v>34</v>
      </c>
      <c r="F1476" t="s">
        <v>129</v>
      </c>
      <c r="G1476" t="s">
        <v>30</v>
      </c>
      <c r="H1476" t="s">
        <v>65</v>
      </c>
      <c r="I1476">
        <v>1</v>
      </c>
      <c r="J1476" t="s">
        <v>116</v>
      </c>
      <c r="K1476" s="1">
        <v>45555</v>
      </c>
      <c r="L1476">
        <v>292.10000000000002</v>
      </c>
      <c r="M1476">
        <v>38</v>
      </c>
      <c r="N1476">
        <v>0.2</v>
      </c>
      <c r="O1476">
        <v>2.4E-2</v>
      </c>
      <c r="R1476">
        <v>27.9</v>
      </c>
      <c r="S1476">
        <v>1.9</v>
      </c>
      <c r="T1476">
        <v>160.30000000000001</v>
      </c>
      <c r="U1476">
        <v>27</v>
      </c>
      <c r="V1476">
        <v>341.4</v>
      </c>
      <c r="W1476">
        <v>34</v>
      </c>
      <c r="X1476">
        <v>58</v>
      </c>
      <c r="Y1476">
        <v>16</v>
      </c>
    </row>
    <row r="1477" spans="1:25" hidden="1" x14ac:dyDescent="0.25">
      <c r="A1477" t="str">
        <f t="shared" si="23"/>
        <v>2024_SA_Warnertown_Fababean_SatelliteTOSTOS2VarietySamiraWaterTrtRainFedAgronomyDensity_1</v>
      </c>
      <c r="B1477">
        <v>2024042</v>
      </c>
      <c r="C1477" t="s">
        <v>115</v>
      </c>
      <c r="D1477">
        <v>6</v>
      </c>
      <c r="E1477" t="s">
        <v>34</v>
      </c>
      <c r="F1477" t="s">
        <v>129</v>
      </c>
      <c r="G1477" t="s">
        <v>30</v>
      </c>
      <c r="H1477" t="s">
        <v>65</v>
      </c>
      <c r="I1477">
        <v>2</v>
      </c>
      <c r="J1477" t="s">
        <v>106</v>
      </c>
      <c r="K1477" s="1">
        <v>45581</v>
      </c>
      <c r="L1477">
        <v>185.5</v>
      </c>
      <c r="M1477">
        <v>38</v>
      </c>
      <c r="N1477">
        <v>0.4</v>
      </c>
      <c r="O1477">
        <v>2.4E-2</v>
      </c>
      <c r="R1477">
        <v>25.5</v>
      </c>
      <c r="S1477">
        <v>1.9</v>
      </c>
      <c r="T1477">
        <v>160.6</v>
      </c>
      <c r="U1477">
        <v>27</v>
      </c>
      <c r="V1477">
        <v>426.4</v>
      </c>
      <c r="W1477">
        <v>33</v>
      </c>
      <c r="X1477">
        <v>68</v>
      </c>
      <c r="Y1477">
        <v>16</v>
      </c>
    </row>
    <row r="1478" spans="1:25" x14ac:dyDescent="0.25">
      <c r="A1478" t="str">
        <f t="shared" si="23"/>
        <v>2024_SA_Warnertown_Lentil_SatelliteTOSTOS1VarietyBoltWaterTrtRainFedAgronomyDensity_0.66</v>
      </c>
      <c r="B1478">
        <v>2024043</v>
      </c>
      <c r="C1478" t="s">
        <v>117</v>
      </c>
      <c r="D1478">
        <v>6</v>
      </c>
      <c r="E1478" t="s">
        <v>34</v>
      </c>
      <c r="F1478" t="s">
        <v>130</v>
      </c>
      <c r="G1478" t="s">
        <v>30</v>
      </c>
      <c r="H1478" t="s">
        <v>63</v>
      </c>
      <c r="I1478">
        <v>1</v>
      </c>
      <c r="J1478" t="s">
        <v>116</v>
      </c>
      <c r="K1478" s="1">
        <v>45555</v>
      </c>
      <c r="L1478">
        <v>176.4</v>
      </c>
      <c r="M1478">
        <v>16</v>
      </c>
      <c r="N1478">
        <v>0.3</v>
      </c>
      <c r="O1478">
        <v>2.3E-2</v>
      </c>
      <c r="R1478">
        <v>94.7</v>
      </c>
      <c r="S1478">
        <v>5.3</v>
      </c>
      <c r="T1478">
        <v>1463.1</v>
      </c>
      <c r="U1478">
        <v>180</v>
      </c>
      <c r="V1478">
        <v>34</v>
      </c>
      <c r="W1478">
        <v>1.5</v>
      </c>
      <c r="X1478">
        <v>47</v>
      </c>
      <c r="Y1478">
        <v>7.8</v>
      </c>
    </row>
    <row r="1479" spans="1:25" x14ac:dyDescent="0.25">
      <c r="A1479" t="str">
        <f t="shared" si="23"/>
        <v>2024_SA_Warnertown_Lentil_SatelliteTOSTOS2VarietyBoltWaterTrtRainFedAgronomyDensity_0.66</v>
      </c>
      <c r="B1479">
        <v>2024043</v>
      </c>
      <c r="C1479" t="s">
        <v>117</v>
      </c>
      <c r="D1479">
        <v>6</v>
      </c>
      <c r="E1479" t="s">
        <v>34</v>
      </c>
      <c r="F1479" t="s">
        <v>130</v>
      </c>
      <c r="G1479" t="s">
        <v>30</v>
      </c>
      <c r="H1479" t="s">
        <v>63</v>
      </c>
      <c r="I1479">
        <v>2</v>
      </c>
      <c r="J1479" t="s">
        <v>106</v>
      </c>
      <c r="K1479" s="1">
        <v>45581</v>
      </c>
      <c r="L1479">
        <v>147.69999999999999</v>
      </c>
      <c r="M1479">
        <v>14</v>
      </c>
      <c r="N1479">
        <v>0.4</v>
      </c>
      <c r="O1479">
        <v>0.02</v>
      </c>
      <c r="R1479">
        <v>89.5</v>
      </c>
      <c r="S1479">
        <v>5.3</v>
      </c>
      <c r="T1479">
        <v>1364.6</v>
      </c>
      <c r="U1479">
        <v>160</v>
      </c>
      <c r="V1479">
        <v>42.2</v>
      </c>
      <c r="W1479">
        <v>1.5</v>
      </c>
      <c r="X1479">
        <v>58</v>
      </c>
      <c r="Y1479">
        <v>6.8</v>
      </c>
    </row>
    <row r="1480" spans="1:25" x14ac:dyDescent="0.25">
      <c r="A1480" t="str">
        <f t="shared" si="23"/>
        <v>2024_SA_Warnertown_Lentil_SatelliteTOSTOS1VarietyBoltWaterTrtRainFedAgronomyDensity_1</v>
      </c>
      <c r="B1480">
        <v>2024043</v>
      </c>
      <c r="C1480" t="s">
        <v>117</v>
      </c>
      <c r="D1480">
        <v>6</v>
      </c>
      <c r="E1480" t="s">
        <v>34</v>
      </c>
      <c r="F1480" t="s">
        <v>130</v>
      </c>
      <c r="G1480" t="s">
        <v>30</v>
      </c>
      <c r="H1480" t="s">
        <v>65</v>
      </c>
      <c r="I1480">
        <v>1</v>
      </c>
      <c r="J1480" t="s">
        <v>116</v>
      </c>
      <c r="K1480" s="1">
        <v>45555</v>
      </c>
      <c r="L1480">
        <v>289.89999999999998</v>
      </c>
      <c r="M1480">
        <v>14</v>
      </c>
      <c r="N1480">
        <v>0.3</v>
      </c>
      <c r="O1480">
        <v>0.02</v>
      </c>
      <c r="R1480">
        <v>120.7</v>
      </c>
      <c r="S1480">
        <v>5.3</v>
      </c>
      <c r="T1480">
        <v>2473.3000000000002</v>
      </c>
      <c r="U1480">
        <v>160</v>
      </c>
      <c r="V1480">
        <v>40.799999999999997</v>
      </c>
      <c r="W1480">
        <v>1.5</v>
      </c>
      <c r="X1480">
        <v>101</v>
      </c>
      <c r="Y1480">
        <v>6.8</v>
      </c>
    </row>
    <row r="1481" spans="1:25" x14ac:dyDescent="0.25">
      <c r="A1481" t="str">
        <f t="shared" si="23"/>
        <v>2024_SA_Warnertown_Lentil_SatelliteTOSTOS2VarietyBoltWaterTrtRainFedAgronomyDensity_1</v>
      </c>
      <c r="B1481">
        <v>2024043</v>
      </c>
      <c r="C1481" t="s">
        <v>117</v>
      </c>
      <c r="D1481">
        <v>6</v>
      </c>
      <c r="E1481" t="s">
        <v>34</v>
      </c>
      <c r="F1481" t="s">
        <v>130</v>
      </c>
      <c r="G1481" t="s">
        <v>30</v>
      </c>
      <c r="H1481" t="s">
        <v>65</v>
      </c>
      <c r="I1481">
        <v>2</v>
      </c>
      <c r="J1481" t="s">
        <v>106</v>
      </c>
      <c r="K1481" s="1">
        <v>45581</v>
      </c>
      <c r="L1481">
        <v>200.8</v>
      </c>
      <c r="M1481">
        <v>14</v>
      </c>
      <c r="N1481">
        <v>0.4</v>
      </c>
      <c r="O1481">
        <v>0.02</v>
      </c>
      <c r="R1481">
        <v>138.80000000000001</v>
      </c>
      <c r="S1481">
        <v>5.3</v>
      </c>
      <c r="T1481">
        <v>2018.5</v>
      </c>
      <c r="U1481">
        <v>160</v>
      </c>
      <c r="V1481">
        <v>43.9</v>
      </c>
      <c r="W1481">
        <v>1.5</v>
      </c>
      <c r="X1481">
        <v>89</v>
      </c>
      <c r="Y1481">
        <v>6.8</v>
      </c>
    </row>
    <row r="1482" spans="1:25" x14ac:dyDescent="0.25">
      <c r="A1482" t="str">
        <f t="shared" si="23"/>
        <v>2024_SA_Warnertown_Lentil_SatelliteTOSTOS1VarietyHallmarkXTWaterTrtRainFedAgronomyDensity_1</v>
      </c>
      <c r="B1482">
        <v>2024043</v>
      </c>
      <c r="C1482" t="s">
        <v>117</v>
      </c>
      <c r="D1482">
        <v>6</v>
      </c>
      <c r="E1482" t="s">
        <v>34</v>
      </c>
      <c r="F1482" t="s">
        <v>131</v>
      </c>
      <c r="G1482" t="s">
        <v>30</v>
      </c>
      <c r="H1482" t="s">
        <v>65</v>
      </c>
      <c r="I1482">
        <v>1</v>
      </c>
      <c r="J1482" t="s">
        <v>116</v>
      </c>
      <c r="K1482" s="1">
        <v>45555</v>
      </c>
      <c r="L1482">
        <v>243.8</v>
      </c>
      <c r="M1482">
        <v>14</v>
      </c>
      <c r="N1482">
        <v>0.3</v>
      </c>
      <c r="O1482">
        <v>0.02</v>
      </c>
      <c r="R1482">
        <v>127.2</v>
      </c>
      <c r="S1482">
        <v>5.3</v>
      </c>
      <c r="T1482">
        <v>2129.4</v>
      </c>
      <c r="U1482">
        <v>160</v>
      </c>
      <c r="V1482">
        <v>32.799999999999997</v>
      </c>
      <c r="W1482">
        <v>1.5</v>
      </c>
      <c r="X1482">
        <v>69</v>
      </c>
      <c r="Y1482">
        <v>6.8</v>
      </c>
    </row>
    <row r="1483" spans="1:25" x14ac:dyDescent="0.25">
      <c r="A1483" t="str">
        <f t="shared" si="23"/>
        <v>2024_SA_Warnertown_Lentil_SatelliteTOSTOS2VarietyHallmarkXTWaterTrtRainFedAgronomyDensity_1</v>
      </c>
      <c r="B1483">
        <v>2024043</v>
      </c>
      <c r="C1483" t="s">
        <v>117</v>
      </c>
      <c r="D1483">
        <v>6</v>
      </c>
      <c r="E1483" t="s">
        <v>34</v>
      </c>
      <c r="F1483" t="s">
        <v>131</v>
      </c>
      <c r="G1483" t="s">
        <v>30</v>
      </c>
      <c r="H1483" t="s">
        <v>65</v>
      </c>
      <c r="I1483">
        <v>2</v>
      </c>
      <c r="J1483" t="s">
        <v>106</v>
      </c>
      <c r="K1483" s="1">
        <v>45581</v>
      </c>
      <c r="L1483">
        <v>172.1</v>
      </c>
      <c r="M1483">
        <v>14</v>
      </c>
      <c r="N1483">
        <v>0.4</v>
      </c>
      <c r="O1483">
        <v>0.02</v>
      </c>
      <c r="R1483">
        <v>122.8</v>
      </c>
      <c r="S1483">
        <v>5.3</v>
      </c>
      <c r="T1483">
        <v>1785.5</v>
      </c>
      <c r="U1483">
        <v>160</v>
      </c>
      <c r="V1483">
        <v>36.6</v>
      </c>
      <c r="W1483">
        <v>1.5</v>
      </c>
      <c r="X1483">
        <v>65</v>
      </c>
      <c r="Y1483">
        <v>6.8</v>
      </c>
    </row>
    <row r="1484" spans="1:25" x14ac:dyDescent="0.25">
      <c r="A1484" t="str">
        <f t="shared" si="23"/>
        <v>2024_SA_Warnertown_Lentil_SatelliteTOSTOS1VarietyJumbo2WaterTrtRainFedAgronomyDensity_0.66</v>
      </c>
      <c r="B1484">
        <v>2024043</v>
      </c>
      <c r="C1484" t="s">
        <v>117</v>
      </c>
      <c r="D1484">
        <v>6</v>
      </c>
      <c r="E1484" t="s">
        <v>34</v>
      </c>
      <c r="F1484" t="s">
        <v>132</v>
      </c>
      <c r="G1484" t="s">
        <v>30</v>
      </c>
      <c r="H1484" t="s">
        <v>63</v>
      </c>
      <c r="I1484">
        <v>1</v>
      </c>
      <c r="J1484" t="s">
        <v>116</v>
      </c>
      <c r="K1484" s="1">
        <v>45555</v>
      </c>
      <c r="L1484">
        <v>293.5</v>
      </c>
      <c r="M1484">
        <v>14</v>
      </c>
      <c r="N1484">
        <v>0.3</v>
      </c>
      <c r="O1484">
        <v>0.02</v>
      </c>
      <c r="R1484">
        <v>75.400000000000006</v>
      </c>
      <c r="S1484">
        <v>5.3</v>
      </c>
      <c r="T1484">
        <v>2105.1</v>
      </c>
      <c r="U1484">
        <v>160</v>
      </c>
      <c r="V1484">
        <v>39.4</v>
      </c>
      <c r="W1484">
        <v>1.5</v>
      </c>
      <c r="X1484">
        <v>83</v>
      </c>
      <c r="Y1484">
        <v>6.8</v>
      </c>
    </row>
    <row r="1485" spans="1:25" x14ac:dyDescent="0.25">
      <c r="A1485" t="str">
        <f t="shared" si="23"/>
        <v>2024_SA_Warnertown_Lentil_SatelliteTOSTOS2VarietyJumbo2WaterTrtRainFedAgronomyDensity_0.66</v>
      </c>
      <c r="B1485">
        <v>2024043</v>
      </c>
      <c r="C1485" t="s">
        <v>117</v>
      </c>
      <c r="D1485">
        <v>6</v>
      </c>
      <c r="E1485" t="s">
        <v>34</v>
      </c>
      <c r="F1485" t="s">
        <v>132</v>
      </c>
      <c r="G1485" t="s">
        <v>30</v>
      </c>
      <c r="H1485" t="s">
        <v>63</v>
      </c>
      <c r="I1485">
        <v>2</v>
      </c>
      <c r="J1485" t="s">
        <v>106</v>
      </c>
      <c r="K1485" s="1">
        <v>45581</v>
      </c>
      <c r="L1485">
        <v>138.9</v>
      </c>
      <c r="M1485">
        <v>14</v>
      </c>
      <c r="N1485">
        <v>0.4</v>
      </c>
      <c r="O1485">
        <v>0.02</v>
      </c>
      <c r="R1485">
        <v>74.5</v>
      </c>
      <c r="S1485">
        <v>5.3</v>
      </c>
      <c r="T1485">
        <v>1109.0999999999999</v>
      </c>
      <c r="U1485">
        <v>160</v>
      </c>
      <c r="V1485">
        <v>46.2</v>
      </c>
      <c r="W1485">
        <v>1.5</v>
      </c>
      <c r="X1485">
        <v>52</v>
      </c>
      <c r="Y1485">
        <v>6.8</v>
      </c>
    </row>
    <row r="1486" spans="1:25" x14ac:dyDescent="0.25">
      <c r="A1486" t="str">
        <f t="shared" si="23"/>
        <v>2024_SA_Warnertown_Lentil_SatelliteTOSTOS1VarietyJumbo2WaterTrtRainFedAgronomyDensity_1</v>
      </c>
      <c r="B1486">
        <v>2024043</v>
      </c>
      <c r="C1486" t="s">
        <v>117</v>
      </c>
      <c r="D1486">
        <v>6</v>
      </c>
      <c r="E1486" t="s">
        <v>34</v>
      </c>
      <c r="F1486" t="s">
        <v>132</v>
      </c>
      <c r="G1486" t="s">
        <v>30</v>
      </c>
      <c r="H1486" t="s">
        <v>65</v>
      </c>
      <c r="I1486">
        <v>1</v>
      </c>
      <c r="J1486" t="s">
        <v>116</v>
      </c>
      <c r="K1486" s="1">
        <v>45555</v>
      </c>
      <c r="L1486">
        <v>269.10000000000002</v>
      </c>
      <c r="M1486">
        <v>14</v>
      </c>
      <c r="N1486">
        <v>0.3</v>
      </c>
      <c r="O1486">
        <v>0.02</v>
      </c>
      <c r="R1486">
        <v>127.5</v>
      </c>
      <c r="S1486">
        <v>5.3</v>
      </c>
      <c r="T1486">
        <v>1994.5</v>
      </c>
      <c r="U1486">
        <v>160</v>
      </c>
      <c r="V1486">
        <v>41.9</v>
      </c>
      <c r="W1486">
        <v>1.5</v>
      </c>
      <c r="X1486">
        <v>83</v>
      </c>
      <c r="Y1486">
        <v>6.8</v>
      </c>
    </row>
    <row r="1487" spans="1:25" x14ac:dyDescent="0.25">
      <c r="A1487" t="str">
        <f t="shared" si="23"/>
        <v>2024_SA_Warnertown_Lentil_SatelliteTOSTOS2VarietyJumbo2WaterTrtRainFedAgronomyDensity_1</v>
      </c>
      <c r="B1487">
        <v>2024043</v>
      </c>
      <c r="C1487" t="s">
        <v>117</v>
      </c>
      <c r="D1487">
        <v>6</v>
      </c>
      <c r="E1487" t="s">
        <v>34</v>
      </c>
      <c r="F1487" t="s">
        <v>132</v>
      </c>
      <c r="G1487" t="s">
        <v>30</v>
      </c>
      <c r="H1487" t="s">
        <v>65</v>
      </c>
      <c r="I1487">
        <v>2</v>
      </c>
      <c r="J1487" t="s">
        <v>106</v>
      </c>
      <c r="K1487" s="1">
        <v>45581</v>
      </c>
      <c r="L1487">
        <v>180.9</v>
      </c>
      <c r="M1487">
        <v>14</v>
      </c>
      <c r="N1487">
        <v>0.4</v>
      </c>
      <c r="O1487">
        <v>0.02</v>
      </c>
      <c r="R1487">
        <v>134.80000000000001</v>
      </c>
      <c r="S1487">
        <v>5.3</v>
      </c>
      <c r="T1487">
        <v>1321.4</v>
      </c>
      <c r="U1487">
        <v>160</v>
      </c>
      <c r="V1487">
        <v>48.7</v>
      </c>
      <c r="W1487">
        <v>1.5</v>
      </c>
      <c r="X1487">
        <v>65</v>
      </c>
      <c r="Y1487">
        <v>6.8</v>
      </c>
    </row>
    <row r="1488" spans="1:25" x14ac:dyDescent="0.25">
      <c r="A1488" t="str">
        <f t="shared" si="23"/>
        <v>2024_SA_Warnertown_Lentil_SatelliteTOSTOS1VarietyKelpieXTWaterTrtRainFedAgronomyDensity_1</v>
      </c>
      <c r="B1488">
        <v>2024043</v>
      </c>
      <c r="C1488" t="s">
        <v>117</v>
      </c>
      <c r="D1488">
        <v>6</v>
      </c>
      <c r="E1488" t="s">
        <v>34</v>
      </c>
      <c r="F1488" t="s">
        <v>133</v>
      </c>
      <c r="G1488" t="s">
        <v>30</v>
      </c>
      <c r="H1488" t="s">
        <v>65</v>
      </c>
      <c r="I1488">
        <v>1</v>
      </c>
      <c r="J1488" t="s">
        <v>116</v>
      </c>
      <c r="K1488" s="1">
        <v>45555</v>
      </c>
      <c r="L1488">
        <v>292.3</v>
      </c>
      <c r="M1488">
        <v>14</v>
      </c>
      <c r="N1488">
        <v>0.4</v>
      </c>
      <c r="O1488">
        <v>0.02</v>
      </c>
      <c r="R1488">
        <v>120.3</v>
      </c>
      <c r="S1488">
        <v>5.3</v>
      </c>
      <c r="T1488">
        <v>2438.4</v>
      </c>
      <c r="U1488">
        <v>160</v>
      </c>
      <c r="V1488">
        <v>45.1</v>
      </c>
      <c r="W1488">
        <v>1.5</v>
      </c>
      <c r="X1488">
        <v>110</v>
      </c>
      <c r="Y1488">
        <v>6.8</v>
      </c>
    </row>
    <row r="1489" spans="1:25" x14ac:dyDescent="0.25">
      <c r="A1489" t="str">
        <f t="shared" si="23"/>
        <v>2024_SA_Warnertown_Lentil_SatelliteTOSTOS2VarietyKelpieXTWaterTrtRainFedAgronomyDensity_1</v>
      </c>
      <c r="B1489">
        <v>2024043</v>
      </c>
      <c r="C1489" t="s">
        <v>117</v>
      </c>
      <c r="D1489">
        <v>6</v>
      </c>
      <c r="E1489" t="s">
        <v>34</v>
      </c>
      <c r="F1489" t="s">
        <v>133</v>
      </c>
      <c r="G1489" t="s">
        <v>30</v>
      </c>
      <c r="H1489" t="s">
        <v>65</v>
      </c>
      <c r="I1489">
        <v>2</v>
      </c>
      <c r="J1489" t="s">
        <v>106</v>
      </c>
      <c r="K1489" s="1">
        <v>45581</v>
      </c>
      <c r="L1489">
        <v>180.5</v>
      </c>
      <c r="M1489">
        <v>14</v>
      </c>
      <c r="N1489">
        <v>0.5</v>
      </c>
      <c r="O1489">
        <v>0.02</v>
      </c>
      <c r="R1489">
        <v>118.8</v>
      </c>
      <c r="S1489">
        <v>5.3</v>
      </c>
      <c r="T1489">
        <v>1589.3</v>
      </c>
      <c r="U1489">
        <v>160</v>
      </c>
      <c r="V1489">
        <v>53.6</v>
      </c>
      <c r="W1489">
        <v>1.5</v>
      </c>
      <c r="X1489">
        <v>85</v>
      </c>
      <c r="Y1489">
        <v>6.8</v>
      </c>
    </row>
    <row r="1490" spans="1:25" hidden="1" x14ac:dyDescent="0.25">
      <c r="A1490" t="str">
        <f t="shared" si="23"/>
        <v>2024_Vic_Douglas_Fababean_SatelliteTOSTOS1VarietyAmberleyWaterTrtRainFed</v>
      </c>
      <c r="B1490">
        <v>2024044</v>
      </c>
      <c r="C1490" t="s">
        <v>118</v>
      </c>
      <c r="D1490">
        <v>6</v>
      </c>
      <c r="E1490" t="s">
        <v>34</v>
      </c>
      <c r="F1490" t="s">
        <v>126</v>
      </c>
      <c r="G1490" t="s">
        <v>30</v>
      </c>
      <c r="I1490">
        <v>1</v>
      </c>
      <c r="J1490" t="s">
        <v>119</v>
      </c>
      <c r="K1490" s="1">
        <v>45625</v>
      </c>
      <c r="L1490">
        <v>734.2</v>
      </c>
      <c r="M1490">
        <v>41</v>
      </c>
      <c r="N1490">
        <v>0.5</v>
      </c>
      <c r="O1490">
        <v>1.4999999999999999E-2</v>
      </c>
      <c r="R1490">
        <v>22.5</v>
      </c>
      <c r="S1490">
        <v>2.2000000000000002</v>
      </c>
      <c r="T1490">
        <v>312.2</v>
      </c>
      <c r="U1490">
        <v>29</v>
      </c>
      <c r="V1490">
        <v>1074.3</v>
      </c>
      <c r="W1490">
        <v>50</v>
      </c>
      <c r="X1490">
        <v>334</v>
      </c>
      <c r="Y1490">
        <v>25</v>
      </c>
    </row>
    <row r="1491" spans="1:25" hidden="1" x14ac:dyDescent="0.25">
      <c r="A1491" t="str">
        <f t="shared" si="23"/>
        <v>2024_Vic_Douglas_Fababean_SatelliteTOSTOS2VarietyAmberleyWaterTrtRainFed</v>
      </c>
      <c r="B1491">
        <v>2024044</v>
      </c>
      <c r="C1491" t="s">
        <v>118</v>
      </c>
      <c r="D1491">
        <v>6</v>
      </c>
      <c r="E1491" t="s">
        <v>34</v>
      </c>
      <c r="F1491" t="s">
        <v>126</v>
      </c>
      <c r="G1491" t="s">
        <v>30</v>
      </c>
      <c r="I1491">
        <v>2</v>
      </c>
      <c r="J1491" t="s">
        <v>110</v>
      </c>
      <c r="K1491" s="1">
        <v>45639</v>
      </c>
      <c r="L1491">
        <v>423</v>
      </c>
      <c r="M1491">
        <v>41</v>
      </c>
      <c r="N1491">
        <v>0.5</v>
      </c>
      <c r="O1491">
        <v>1.4999999999999999E-2</v>
      </c>
      <c r="R1491">
        <v>21.7</v>
      </c>
      <c r="S1491">
        <v>2.2000000000000002</v>
      </c>
      <c r="T1491">
        <v>235.4</v>
      </c>
      <c r="U1491">
        <v>29</v>
      </c>
      <c r="V1491">
        <v>984.8</v>
      </c>
      <c r="W1491">
        <v>50</v>
      </c>
      <c r="X1491">
        <v>230</v>
      </c>
      <c r="Y1491">
        <v>25</v>
      </c>
    </row>
    <row r="1492" spans="1:25" hidden="1" x14ac:dyDescent="0.25">
      <c r="A1492" t="str">
        <f t="shared" si="23"/>
        <v>2024_Vic_Douglas_Fababean_SatelliteTOSTOS1VarietyMarneWaterTrtRainFed</v>
      </c>
      <c r="B1492">
        <v>2024044</v>
      </c>
      <c r="C1492" t="s">
        <v>118</v>
      </c>
      <c r="D1492">
        <v>6</v>
      </c>
      <c r="E1492" t="s">
        <v>34</v>
      </c>
      <c r="F1492" t="s">
        <v>127</v>
      </c>
      <c r="G1492" t="s">
        <v>30</v>
      </c>
      <c r="I1492">
        <v>1</v>
      </c>
      <c r="J1492" t="s">
        <v>119</v>
      </c>
      <c r="K1492" s="1">
        <v>45625</v>
      </c>
      <c r="L1492">
        <v>780.3</v>
      </c>
      <c r="M1492">
        <v>41</v>
      </c>
      <c r="N1492">
        <v>0.5</v>
      </c>
      <c r="O1492">
        <v>1.4999999999999999E-2</v>
      </c>
      <c r="R1492">
        <v>22.8</v>
      </c>
      <c r="S1492">
        <v>2.2000000000000002</v>
      </c>
      <c r="T1492">
        <v>458.9</v>
      </c>
      <c r="U1492">
        <v>29</v>
      </c>
      <c r="V1492">
        <v>907</v>
      </c>
      <c r="W1492">
        <v>50</v>
      </c>
      <c r="X1492">
        <v>407</v>
      </c>
      <c r="Y1492">
        <v>25</v>
      </c>
    </row>
    <row r="1493" spans="1:25" hidden="1" x14ac:dyDescent="0.25">
      <c r="A1493" t="str">
        <f t="shared" si="23"/>
        <v>2024_Vic_Douglas_Fababean_SatelliteTOSTOS2VarietyMarneWaterTrtRainFed</v>
      </c>
      <c r="B1493">
        <v>2024044</v>
      </c>
      <c r="C1493" t="s">
        <v>118</v>
      </c>
      <c r="D1493">
        <v>6</v>
      </c>
      <c r="E1493" t="s">
        <v>34</v>
      </c>
      <c r="F1493" t="s">
        <v>127</v>
      </c>
      <c r="G1493" t="s">
        <v>30</v>
      </c>
      <c r="I1493">
        <v>2</v>
      </c>
      <c r="J1493" t="s">
        <v>110</v>
      </c>
      <c r="K1493" s="1">
        <v>45639</v>
      </c>
      <c r="L1493">
        <v>499.9</v>
      </c>
      <c r="M1493">
        <v>41</v>
      </c>
      <c r="N1493">
        <v>0.6</v>
      </c>
      <c r="O1493">
        <v>1.4999999999999999E-2</v>
      </c>
      <c r="R1493">
        <v>29.2</v>
      </c>
      <c r="S1493">
        <v>2.2000000000000002</v>
      </c>
      <c r="T1493">
        <v>313.89999999999998</v>
      </c>
      <c r="U1493">
        <v>29</v>
      </c>
      <c r="V1493">
        <v>937.4</v>
      </c>
      <c r="W1493">
        <v>50</v>
      </c>
      <c r="X1493">
        <v>292</v>
      </c>
      <c r="Y1493">
        <v>25</v>
      </c>
    </row>
    <row r="1494" spans="1:25" hidden="1" x14ac:dyDescent="0.25">
      <c r="A1494" t="str">
        <f t="shared" si="23"/>
        <v>2024_Vic_Douglas_Fababean_SatelliteTOSTOS1VarietyNasmaWaterTrtRainFed</v>
      </c>
      <c r="B1494">
        <v>2024044</v>
      </c>
      <c r="C1494" t="s">
        <v>118</v>
      </c>
      <c r="D1494">
        <v>6</v>
      </c>
      <c r="E1494" t="s">
        <v>34</v>
      </c>
      <c r="F1494" t="s">
        <v>128</v>
      </c>
      <c r="G1494" t="s">
        <v>30</v>
      </c>
      <c r="I1494">
        <v>1</v>
      </c>
      <c r="J1494" t="s">
        <v>119</v>
      </c>
      <c r="K1494" s="1">
        <v>45622</v>
      </c>
      <c r="L1494">
        <v>839.3</v>
      </c>
      <c r="M1494">
        <v>41</v>
      </c>
      <c r="N1494">
        <v>0.5</v>
      </c>
      <c r="O1494">
        <v>1.4999999999999999E-2</v>
      </c>
      <c r="R1494">
        <v>25.3</v>
      </c>
      <c r="S1494">
        <v>2.2000000000000002</v>
      </c>
      <c r="T1494">
        <v>439.3</v>
      </c>
      <c r="U1494">
        <v>34</v>
      </c>
      <c r="V1494">
        <v>885.1</v>
      </c>
      <c r="W1494">
        <v>50</v>
      </c>
      <c r="X1494">
        <v>442</v>
      </c>
      <c r="Y1494">
        <v>25</v>
      </c>
    </row>
    <row r="1495" spans="1:25" hidden="1" x14ac:dyDescent="0.25">
      <c r="A1495" t="str">
        <f t="shared" si="23"/>
        <v>2024_Vic_Douglas_Fababean_SatelliteTOSTOS2VarietyNasmaWaterTrtRainFed</v>
      </c>
      <c r="B1495">
        <v>2024044</v>
      </c>
      <c r="C1495" t="s">
        <v>118</v>
      </c>
      <c r="D1495">
        <v>6</v>
      </c>
      <c r="E1495" t="s">
        <v>34</v>
      </c>
      <c r="F1495" t="s">
        <v>128</v>
      </c>
      <c r="G1495" t="s">
        <v>30</v>
      </c>
      <c r="I1495">
        <v>2</v>
      </c>
      <c r="J1495" t="s">
        <v>110</v>
      </c>
      <c r="K1495" s="1">
        <v>45639</v>
      </c>
      <c r="L1495">
        <v>509.7</v>
      </c>
      <c r="M1495">
        <v>41</v>
      </c>
      <c r="N1495">
        <v>0.6</v>
      </c>
      <c r="O1495">
        <v>1.4999999999999999E-2</v>
      </c>
      <c r="R1495">
        <v>26.9</v>
      </c>
      <c r="S1495">
        <v>2.2000000000000002</v>
      </c>
      <c r="T1495">
        <v>315.2</v>
      </c>
      <c r="U1495">
        <v>29</v>
      </c>
      <c r="V1495">
        <v>932.8</v>
      </c>
      <c r="W1495">
        <v>50</v>
      </c>
      <c r="X1495">
        <v>294</v>
      </c>
      <c r="Y1495">
        <v>25</v>
      </c>
    </row>
    <row r="1496" spans="1:25" hidden="1" x14ac:dyDescent="0.25">
      <c r="A1496" t="str">
        <f t="shared" si="23"/>
        <v>2024_Vic_Douglas_Fababean_SatelliteTOSTOS1VarietySamiraWaterTrtRainFed</v>
      </c>
      <c r="B1496">
        <v>2024044</v>
      </c>
      <c r="C1496" t="s">
        <v>118</v>
      </c>
      <c r="D1496">
        <v>6</v>
      </c>
      <c r="E1496" t="s">
        <v>34</v>
      </c>
      <c r="F1496" t="s">
        <v>129</v>
      </c>
      <c r="G1496" t="s">
        <v>30</v>
      </c>
      <c r="I1496">
        <v>1</v>
      </c>
      <c r="J1496" t="s">
        <v>119</v>
      </c>
      <c r="K1496" s="1">
        <v>45625</v>
      </c>
      <c r="L1496">
        <v>889.2</v>
      </c>
      <c r="M1496">
        <v>41</v>
      </c>
      <c r="N1496">
        <v>0.5</v>
      </c>
      <c r="O1496">
        <v>1.4999999999999999E-2</v>
      </c>
      <c r="R1496">
        <v>24.4</v>
      </c>
      <c r="S1496">
        <v>2.2000000000000002</v>
      </c>
      <c r="T1496">
        <v>481</v>
      </c>
      <c r="U1496">
        <v>29</v>
      </c>
      <c r="V1496">
        <v>993.1</v>
      </c>
      <c r="W1496">
        <v>50</v>
      </c>
      <c r="X1496">
        <v>474</v>
      </c>
      <c r="Y1496">
        <v>25</v>
      </c>
    </row>
    <row r="1497" spans="1:25" hidden="1" x14ac:dyDescent="0.25">
      <c r="A1497" t="str">
        <f t="shared" si="23"/>
        <v>2024_Vic_Douglas_Fababean_SatelliteTOSTOS2VarietySamiraWaterTrtRainFed</v>
      </c>
      <c r="B1497">
        <v>2024044</v>
      </c>
      <c r="C1497" t="s">
        <v>118</v>
      </c>
      <c r="D1497">
        <v>6</v>
      </c>
      <c r="E1497" t="s">
        <v>34</v>
      </c>
      <c r="F1497" t="s">
        <v>129</v>
      </c>
      <c r="G1497" t="s">
        <v>30</v>
      </c>
      <c r="I1497">
        <v>2</v>
      </c>
      <c r="J1497" t="s">
        <v>110</v>
      </c>
      <c r="K1497" s="1">
        <v>45639</v>
      </c>
      <c r="L1497">
        <v>486.7</v>
      </c>
      <c r="M1497">
        <v>41</v>
      </c>
      <c r="N1497">
        <v>0.6</v>
      </c>
      <c r="O1497">
        <v>1.4999999999999999E-2</v>
      </c>
      <c r="R1497">
        <v>23.3</v>
      </c>
      <c r="S1497">
        <v>2.2000000000000002</v>
      </c>
      <c r="T1497">
        <v>292.3</v>
      </c>
      <c r="U1497">
        <v>29</v>
      </c>
      <c r="V1497">
        <v>968.4</v>
      </c>
      <c r="W1497">
        <v>50</v>
      </c>
      <c r="X1497">
        <v>280</v>
      </c>
      <c r="Y1497">
        <v>25</v>
      </c>
    </row>
    <row r="1498" spans="1:25" x14ac:dyDescent="0.25">
      <c r="A1498" t="str">
        <f t="shared" si="23"/>
        <v>2024_Vic_Walpeup_Lentil_SatelliteTOSTOS1VarietyBoltWaterTrtRainFed</v>
      </c>
      <c r="B1498">
        <v>2024045</v>
      </c>
      <c r="C1498" t="s">
        <v>120</v>
      </c>
      <c r="D1498">
        <v>6</v>
      </c>
      <c r="E1498" t="s">
        <v>34</v>
      </c>
      <c r="F1498" t="s">
        <v>130</v>
      </c>
      <c r="G1498" t="s">
        <v>30</v>
      </c>
      <c r="I1498">
        <v>1</v>
      </c>
      <c r="J1498" t="s">
        <v>121</v>
      </c>
      <c r="K1498" s="1">
        <v>45589</v>
      </c>
      <c r="L1498">
        <v>136</v>
      </c>
      <c r="M1498">
        <v>13</v>
      </c>
      <c r="N1498">
        <v>0.6</v>
      </c>
      <c r="O1498">
        <v>2.9000000000000001E-2</v>
      </c>
      <c r="R1498">
        <v>81.900000000000006</v>
      </c>
      <c r="S1498">
        <v>5.6</v>
      </c>
      <c r="T1498">
        <v>1784.2</v>
      </c>
      <c r="U1498">
        <v>160</v>
      </c>
      <c r="V1498">
        <v>44.7</v>
      </c>
      <c r="W1498">
        <v>1.3</v>
      </c>
      <c r="X1498">
        <v>80</v>
      </c>
      <c r="Y1498">
        <v>7.9</v>
      </c>
    </row>
    <row r="1499" spans="1:25" x14ac:dyDescent="0.25">
      <c r="A1499" t="str">
        <f t="shared" si="23"/>
        <v>2024_Vic_Walpeup_Lentil_SatelliteTOSTOS2VarietyBoltWaterTrtRainFed</v>
      </c>
      <c r="B1499">
        <v>2024045</v>
      </c>
      <c r="C1499" t="s">
        <v>120</v>
      </c>
      <c r="D1499">
        <v>6</v>
      </c>
      <c r="E1499" t="s">
        <v>34</v>
      </c>
      <c r="F1499" t="s">
        <v>130</v>
      </c>
      <c r="G1499" t="s">
        <v>30</v>
      </c>
      <c r="I1499">
        <v>2</v>
      </c>
      <c r="J1499" t="s">
        <v>107</v>
      </c>
      <c r="K1499" s="1">
        <v>45600</v>
      </c>
      <c r="L1499">
        <v>108.7</v>
      </c>
      <c r="M1499">
        <v>13</v>
      </c>
      <c r="N1499">
        <v>0.5</v>
      </c>
      <c r="O1499">
        <v>2.9000000000000001E-2</v>
      </c>
      <c r="R1499">
        <v>92.6</v>
      </c>
      <c r="S1499">
        <v>5.6</v>
      </c>
      <c r="T1499">
        <v>1366.5</v>
      </c>
      <c r="U1499">
        <v>160</v>
      </c>
      <c r="V1499">
        <v>40.799999999999997</v>
      </c>
      <c r="W1499">
        <v>1.3</v>
      </c>
      <c r="X1499">
        <v>56</v>
      </c>
      <c r="Y1499">
        <v>7.9</v>
      </c>
    </row>
    <row r="1500" spans="1:25" x14ac:dyDescent="0.25">
      <c r="A1500" t="str">
        <f t="shared" si="23"/>
        <v>2024_Vic_Walpeup_Lentil_SatelliteTOSTOS1VarietyHallmarkXTWaterTrtRainFed</v>
      </c>
      <c r="B1500">
        <v>2024045</v>
      </c>
      <c r="C1500" t="s">
        <v>120</v>
      </c>
      <c r="D1500">
        <v>6</v>
      </c>
      <c r="E1500" t="s">
        <v>34</v>
      </c>
      <c r="F1500" t="s">
        <v>131</v>
      </c>
      <c r="G1500" t="s">
        <v>30</v>
      </c>
      <c r="I1500">
        <v>1</v>
      </c>
      <c r="J1500" t="s">
        <v>121</v>
      </c>
      <c r="K1500" s="1">
        <v>45589</v>
      </c>
      <c r="L1500">
        <v>129.5</v>
      </c>
      <c r="M1500">
        <v>13</v>
      </c>
      <c r="N1500">
        <v>0.6</v>
      </c>
      <c r="O1500">
        <v>2.9000000000000001E-2</v>
      </c>
      <c r="R1500">
        <v>77</v>
      </c>
      <c r="S1500">
        <v>5.6</v>
      </c>
      <c r="T1500">
        <v>1671.6</v>
      </c>
      <c r="U1500">
        <v>160</v>
      </c>
      <c r="V1500">
        <v>43.5</v>
      </c>
      <c r="W1500">
        <v>1.3</v>
      </c>
      <c r="X1500">
        <v>73</v>
      </c>
      <c r="Y1500">
        <v>7.9</v>
      </c>
    </row>
    <row r="1501" spans="1:25" x14ac:dyDescent="0.25">
      <c r="A1501" t="str">
        <f t="shared" si="23"/>
        <v>2024_Vic_Walpeup_Lentil_SatelliteTOSTOS2VarietyHallmarkXTWaterTrtRainFed</v>
      </c>
      <c r="B1501">
        <v>2024045</v>
      </c>
      <c r="C1501" t="s">
        <v>120</v>
      </c>
      <c r="D1501">
        <v>6</v>
      </c>
      <c r="E1501" t="s">
        <v>34</v>
      </c>
      <c r="F1501" t="s">
        <v>131</v>
      </c>
      <c r="G1501" t="s">
        <v>30</v>
      </c>
      <c r="I1501">
        <v>2</v>
      </c>
      <c r="J1501" t="s">
        <v>107</v>
      </c>
      <c r="K1501" s="1">
        <v>45600</v>
      </c>
      <c r="L1501">
        <v>110.2</v>
      </c>
      <c r="M1501">
        <v>13</v>
      </c>
      <c r="N1501">
        <v>0.5</v>
      </c>
      <c r="O1501">
        <v>2.9000000000000001E-2</v>
      </c>
      <c r="R1501">
        <v>87.3</v>
      </c>
      <c r="S1501">
        <v>5.6</v>
      </c>
      <c r="T1501">
        <v>1313.7</v>
      </c>
      <c r="U1501">
        <v>160</v>
      </c>
      <c r="V1501">
        <v>39.799999999999997</v>
      </c>
      <c r="W1501">
        <v>1.3</v>
      </c>
      <c r="X1501">
        <v>52</v>
      </c>
      <c r="Y1501">
        <v>7.9</v>
      </c>
    </row>
    <row r="1502" spans="1:25" x14ac:dyDescent="0.25">
      <c r="A1502" t="str">
        <f t="shared" si="23"/>
        <v>2024_Vic_Walpeup_Lentil_SatelliteTOSTOS1VarietyJumbo2WaterTrtRainFed</v>
      </c>
      <c r="B1502">
        <v>2024045</v>
      </c>
      <c r="C1502" t="s">
        <v>120</v>
      </c>
      <c r="D1502">
        <v>6</v>
      </c>
      <c r="E1502" t="s">
        <v>34</v>
      </c>
      <c r="F1502" t="s">
        <v>132</v>
      </c>
      <c r="G1502" t="s">
        <v>30</v>
      </c>
      <c r="I1502">
        <v>1</v>
      </c>
      <c r="J1502" t="s">
        <v>121</v>
      </c>
      <c r="K1502" s="1">
        <v>45589</v>
      </c>
      <c r="L1502">
        <v>166.9</v>
      </c>
      <c r="M1502">
        <v>13</v>
      </c>
      <c r="N1502">
        <v>0.5</v>
      </c>
      <c r="O1502">
        <v>2.9000000000000001E-2</v>
      </c>
      <c r="R1502">
        <v>76.3</v>
      </c>
      <c r="S1502">
        <v>5.6</v>
      </c>
      <c r="T1502">
        <v>1663.3</v>
      </c>
      <c r="U1502">
        <v>160</v>
      </c>
      <c r="V1502">
        <v>53.4</v>
      </c>
      <c r="W1502">
        <v>1.3</v>
      </c>
      <c r="X1502">
        <v>88</v>
      </c>
      <c r="Y1502">
        <v>7.9</v>
      </c>
    </row>
    <row r="1503" spans="1:25" x14ac:dyDescent="0.25">
      <c r="A1503" t="str">
        <f t="shared" si="23"/>
        <v>2024_Vic_Walpeup_Lentil_SatelliteTOSTOS2VarietyJumbo2WaterTrtRainFed</v>
      </c>
      <c r="B1503">
        <v>2024045</v>
      </c>
      <c r="C1503" t="s">
        <v>120</v>
      </c>
      <c r="D1503">
        <v>6</v>
      </c>
      <c r="E1503" t="s">
        <v>34</v>
      </c>
      <c r="F1503" t="s">
        <v>132</v>
      </c>
      <c r="G1503" t="s">
        <v>30</v>
      </c>
      <c r="I1503">
        <v>2</v>
      </c>
      <c r="J1503" t="s">
        <v>107</v>
      </c>
      <c r="K1503" s="1">
        <v>45600</v>
      </c>
      <c r="L1503">
        <v>96.1</v>
      </c>
      <c r="M1503">
        <v>13</v>
      </c>
      <c r="N1503">
        <v>0.4</v>
      </c>
      <c r="O1503">
        <v>2.9000000000000001E-2</v>
      </c>
      <c r="R1503">
        <v>87.9</v>
      </c>
      <c r="S1503">
        <v>5.6</v>
      </c>
      <c r="T1503">
        <v>905.4</v>
      </c>
      <c r="U1503">
        <v>160</v>
      </c>
      <c r="V1503">
        <v>47</v>
      </c>
      <c r="W1503">
        <v>1.3</v>
      </c>
      <c r="X1503">
        <v>43</v>
      </c>
      <c r="Y1503">
        <v>7.9</v>
      </c>
    </row>
    <row r="1504" spans="1:25" x14ac:dyDescent="0.25">
      <c r="A1504" t="str">
        <f t="shared" si="23"/>
        <v>2024_Vic_Walpeup_Lentil_SatelliteTOSTOS1VarietyKelpieXTWaterTrtRainFed</v>
      </c>
      <c r="B1504">
        <v>2024045</v>
      </c>
      <c r="C1504" t="s">
        <v>120</v>
      </c>
      <c r="D1504">
        <v>6</v>
      </c>
      <c r="E1504" t="s">
        <v>34</v>
      </c>
      <c r="F1504" t="s">
        <v>133</v>
      </c>
      <c r="G1504" t="s">
        <v>30</v>
      </c>
      <c r="I1504">
        <v>1</v>
      </c>
      <c r="J1504" t="s">
        <v>121</v>
      </c>
      <c r="K1504" s="1">
        <v>45589</v>
      </c>
      <c r="L1504">
        <v>140.69999999999999</v>
      </c>
      <c r="M1504">
        <v>13</v>
      </c>
      <c r="N1504">
        <v>0.6</v>
      </c>
      <c r="O1504">
        <v>2.9000000000000001E-2</v>
      </c>
      <c r="R1504">
        <v>78.099999999999994</v>
      </c>
      <c r="S1504">
        <v>5.6</v>
      </c>
      <c r="T1504">
        <v>1718</v>
      </c>
      <c r="U1504">
        <v>160</v>
      </c>
      <c r="V1504">
        <v>50.1</v>
      </c>
      <c r="W1504">
        <v>1.3</v>
      </c>
      <c r="X1504">
        <v>86</v>
      </c>
      <c r="Y1504">
        <v>7.9</v>
      </c>
    </row>
    <row r="1505" spans="1:25" x14ac:dyDescent="0.25">
      <c r="A1505" t="str">
        <f t="shared" si="23"/>
        <v>2024_Vic_Walpeup_Lentil_SatelliteTOSTOS2VarietyKelpieXTWaterTrtRainFed</v>
      </c>
      <c r="B1505">
        <v>2024045</v>
      </c>
      <c r="C1505" t="s">
        <v>120</v>
      </c>
      <c r="D1505">
        <v>6</v>
      </c>
      <c r="E1505" t="s">
        <v>34</v>
      </c>
      <c r="F1505" t="s">
        <v>133</v>
      </c>
      <c r="G1505" t="s">
        <v>30</v>
      </c>
      <c r="I1505">
        <v>2</v>
      </c>
      <c r="J1505" t="s">
        <v>107</v>
      </c>
      <c r="K1505" s="1">
        <v>45600</v>
      </c>
      <c r="L1505">
        <v>90.8</v>
      </c>
      <c r="M1505">
        <v>13</v>
      </c>
      <c r="N1505">
        <v>0.5</v>
      </c>
      <c r="O1505">
        <v>2.9000000000000001E-2</v>
      </c>
      <c r="R1505">
        <v>81.7</v>
      </c>
      <c r="S1505">
        <v>5.6</v>
      </c>
      <c r="T1505">
        <v>1104.9000000000001</v>
      </c>
      <c r="U1505">
        <v>160</v>
      </c>
      <c r="V1505">
        <v>44.5</v>
      </c>
      <c r="W1505">
        <v>1.3</v>
      </c>
      <c r="X1505">
        <v>49</v>
      </c>
      <c r="Y1505">
        <v>7.9</v>
      </c>
    </row>
  </sheetData>
  <autoFilter ref="F1:F1505" xr:uid="{00000000-0001-0000-0000-000000000000}">
    <filterColumn colId="0">
      <filters>
        <filter val="Ace"/>
        <filter val="Bolt"/>
        <filter val="Greenfield"/>
        <filter val="HallmarkXT"/>
        <filter val="Jumbo2"/>
        <filter val="KelpieXT"/>
      </filters>
    </filterColumn>
  </autoFilter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cla473</dc:creator>
  <cp:lastModifiedBy>Hamish Brown</cp:lastModifiedBy>
  <dcterms:created xsi:type="dcterms:W3CDTF">2026-05-25T23:59:50Z</dcterms:created>
  <dcterms:modified xsi:type="dcterms:W3CDTF">2026-06-25T21:59:34Z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2026-05-26T05:58:35Z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37217ecf-4001-4076-8df1-87ac03b35503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  <property fmtid="{D5CDD505-2E9C-101B-9397-08002B2CF9AE}" pid="10" name="MSIP_Label_8d8f3512-c98a-4fbc-ad6e-3260f1cde3f8_Enabled">
    <vt:lpwstr>true</vt:lpwstr>
  </property>
  <property fmtid="{D5CDD505-2E9C-101B-9397-08002B2CF9AE}" pid="11" name="MSIP_Label_8d8f3512-c98a-4fbc-ad6e-3260f1cde3f8_SetDate">
    <vt:lpwstr>2026-06-25T21:59:34Z</vt:lpwstr>
  </property>
  <property fmtid="{D5CDD505-2E9C-101B-9397-08002B2CF9AE}" pid="12" name="MSIP_Label_8d8f3512-c98a-4fbc-ad6e-3260f1cde3f8_Method">
    <vt:lpwstr>Standard</vt:lpwstr>
  </property>
  <property fmtid="{D5CDD505-2E9C-101B-9397-08002B2CF9AE}" pid="13" name="MSIP_Label_8d8f3512-c98a-4fbc-ad6e-3260f1cde3f8_Name">
    <vt:lpwstr>Internal</vt:lpwstr>
  </property>
  <property fmtid="{D5CDD505-2E9C-101B-9397-08002B2CF9AE}" pid="14" name="MSIP_Label_8d8f3512-c98a-4fbc-ad6e-3260f1cde3f8_SiteId">
    <vt:lpwstr>6ca75ef7-2c66-42e7-af2c-6502153a7e3a</vt:lpwstr>
  </property>
  <property fmtid="{D5CDD505-2E9C-101B-9397-08002B2CF9AE}" pid="15" name="MSIP_Label_8d8f3512-c98a-4fbc-ad6e-3260f1cde3f8_ActionId">
    <vt:lpwstr>1e8f553c-f130-4afc-a177-8e610104980c</vt:lpwstr>
  </property>
  <property fmtid="{D5CDD505-2E9C-101B-9397-08002B2CF9AE}" pid="16" name="MSIP_Label_8d8f3512-c98a-4fbc-ad6e-3260f1cde3f8_ContentBits">
    <vt:lpwstr>0</vt:lpwstr>
  </property>
  <property fmtid="{D5CDD505-2E9C-101B-9397-08002B2CF9AE}" pid="17" name="MSIP_Label_8d8f3512-c98a-4fbc-ad6e-3260f1cde3f8_Tag">
    <vt:lpwstr>10, 3, 0, 1</vt:lpwstr>
  </property>
</Properties>
</file>