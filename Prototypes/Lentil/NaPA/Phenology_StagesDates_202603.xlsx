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Repos\ApsimX\Prototypes\Lentil\NaPA\"/>
    </mc:Choice>
  </mc:AlternateContent>
  <xr:revisionPtr revIDLastSave="0" documentId="13_ncr:1_{4D500674-F043-4112-B735-515F83385A1E}" xr6:coauthVersionLast="47" xr6:coauthVersionMax="47" xr10:uidLastSave="{00000000-0000-0000-0000-000000000000}"/>
  <bookViews>
    <workbookView xWindow="-16320" yWindow="-6390" windowWidth="16440" windowHeight="28320" xr2:uid="{00000000-000D-0000-FFFF-FFFF00000000}"/>
  </bookViews>
  <sheets>
    <sheet name="Sheet 1" sheetId="1" r:id="rId1"/>
  </sheets>
  <definedNames>
    <definedName name="_xlnm._FilterDatabase" localSheetId="0" hidden="1">'Sheet 1'!$B$1:$S$513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13" i="1" l="1"/>
  <c r="W513" i="1"/>
  <c r="V513" i="1"/>
  <c r="U513" i="1"/>
  <c r="T513" i="1"/>
  <c r="X512" i="1"/>
  <c r="W512" i="1"/>
  <c r="V512" i="1"/>
  <c r="U512" i="1"/>
  <c r="T512" i="1"/>
  <c r="X511" i="1"/>
  <c r="W511" i="1"/>
  <c r="U511" i="1"/>
  <c r="T511" i="1"/>
  <c r="X510" i="1"/>
  <c r="W510" i="1"/>
  <c r="U510" i="1"/>
  <c r="T510" i="1"/>
  <c r="X509" i="1"/>
  <c r="W509" i="1"/>
  <c r="U509" i="1"/>
  <c r="T509" i="1"/>
  <c r="X508" i="1"/>
  <c r="W508" i="1"/>
  <c r="V508" i="1"/>
  <c r="U508" i="1"/>
  <c r="T508" i="1"/>
  <c r="X507" i="1"/>
  <c r="W507" i="1"/>
  <c r="V507" i="1"/>
  <c r="U507" i="1"/>
  <c r="T507" i="1"/>
  <c r="X506" i="1"/>
  <c r="W506" i="1"/>
  <c r="V506" i="1"/>
  <c r="U506" i="1"/>
  <c r="T506" i="1"/>
  <c r="X497" i="1"/>
  <c r="W497" i="1"/>
  <c r="V497" i="1"/>
  <c r="U497" i="1"/>
  <c r="T497" i="1"/>
  <c r="X496" i="1"/>
  <c r="W496" i="1"/>
  <c r="V496" i="1"/>
  <c r="U496" i="1"/>
  <c r="T496" i="1"/>
  <c r="X495" i="1"/>
  <c r="W495" i="1"/>
  <c r="V495" i="1"/>
  <c r="U495" i="1"/>
  <c r="T495" i="1"/>
  <c r="X494" i="1"/>
  <c r="W494" i="1"/>
  <c r="V494" i="1"/>
  <c r="U494" i="1"/>
  <c r="T494" i="1"/>
  <c r="X493" i="1"/>
  <c r="W493" i="1"/>
  <c r="V493" i="1"/>
  <c r="U493" i="1"/>
  <c r="T493" i="1"/>
  <c r="X492" i="1"/>
  <c r="W492" i="1"/>
  <c r="V492" i="1"/>
  <c r="U492" i="1"/>
  <c r="T492" i="1"/>
  <c r="X491" i="1"/>
  <c r="W491" i="1"/>
  <c r="V491" i="1"/>
  <c r="U491" i="1"/>
  <c r="T491" i="1"/>
  <c r="X490" i="1"/>
  <c r="W490" i="1"/>
  <c r="V490" i="1"/>
  <c r="U490" i="1"/>
  <c r="T490" i="1"/>
  <c r="X489" i="1"/>
  <c r="W489" i="1"/>
  <c r="V489" i="1"/>
  <c r="U489" i="1"/>
  <c r="T489" i="1"/>
  <c r="X488" i="1"/>
  <c r="W488" i="1"/>
  <c r="V488" i="1"/>
  <c r="U488" i="1"/>
  <c r="T488" i="1"/>
  <c r="X487" i="1"/>
  <c r="W487" i="1"/>
  <c r="V487" i="1"/>
  <c r="U487" i="1"/>
  <c r="T487" i="1"/>
  <c r="X486" i="1"/>
  <c r="W486" i="1"/>
  <c r="V486" i="1"/>
  <c r="U486" i="1"/>
  <c r="T486" i="1"/>
  <c r="X409" i="1"/>
  <c r="W409" i="1"/>
  <c r="V409" i="1"/>
  <c r="U409" i="1"/>
  <c r="T409" i="1"/>
  <c r="X408" i="1"/>
  <c r="W408" i="1"/>
  <c r="U408" i="1"/>
  <c r="T408" i="1"/>
  <c r="X407" i="1"/>
  <c r="W407" i="1"/>
  <c r="V407" i="1"/>
  <c r="U407" i="1"/>
  <c r="T407" i="1"/>
  <c r="X406" i="1"/>
  <c r="W406" i="1"/>
  <c r="U406" i="1"/>
  <c r="T406" i="1"/>
  <c r="X405" i="1"/>
  <c r="W405" i="1"/>
  <c r="U405" i="1"/>
  <c r="T405" i="1"/>
  <c r="X404" i="1"/>
  <c r="W404" i="1"/>
  <c r="U404" i="1"/>
  <c r="T404" i="1"/>
  <c r="X403" i="1"/>
  <c r="W403" i="1"/>
  <c r="U403" i="1"/>
  <c r="T403" i="1"/>
  <c r="X402" i="1"/>
  <c r="W402" i="1"/>
  <c r="U402" i="1"/>
  <c r="T402" i="1"/>
  <c r="X393" i="1"/>
  <c r="W393" i="1"/>
  <c r="V393" i="1"/>
  <c r="U393" i="1"/>
  <c r="T393" i="1"/>
  <c r="X392" i="1"/>
  <c r="W392" i="1"/>
  <c r="V392" i="1"/>
  <c r="U392" i="1"/>
  <c r="T392" i="1"/>
  <c r="X391" i="1"/>
  <c r="W391" i="1"/>
  <c r="V391" i="1"/>
  <c r="U391" i="1"/>
  <c r="T391" i="1"/>
  <c r="X390" i="1"/>
  <c r="W390" i="1"/>
  <c r="V390" i="1"/>
  <c r="U390" i="1"/>
  <c r="T390" i="1"/>
  <c r="X389" i="1"/>
  <c r="W389" i="1"/>
  <c r="V389" i="1"/>
  <c r="U389" i="1"/>
  <c r="T389" i="1"/>
  <c r="X388" i="1"/>
  <c r="W388" i="1"/>
  <c r="V388" i="1"/>
  <c r="U388" i="1"/>
  <c r="T388" i="1"/>
  <c r="X387" i="1"/>
  <c r="W387" i="1"/>
  <c r="V387" i="1"/>
  <c r="U387" i="1"/>
  <c r="T387" i="1"/>
  <c r="X386" i="1"/>
  <c r="W386" i="1"/>
  <c r="V386" i="1"/>
  <c r="U386" i="1"/>
  <c r="T386" i="1"/>
  <c r="X385" i="1"/>
  <c r="W385" i="1"/>
  <c r="V385" i="1"/>
  <c r="U385" i="1"/>
  <c r="T385" i="1"/>
  <c r="X384" i="1"/>
  <c r="W384" i="1"/>
  <c r="V384" i="1"/>
  <c r="U384" i="1"/>
  <c r="T384" i="1"/>
  <c r="X383" i="1"/>
  <c r="W383" i="1"/>
  <c r="V383" i="1"/>
  <c r="U383" i="1"/>
  <c r="T383" i="1"/>
  <c r="X382" i="1"/>
  <c r="W382" i="1"/>
  <c r="V382" i="1"/>
  <c r="U382" i="1"/>
  <c r="T382" i="1"/>
  <c r="X173" i="1"/>
  <c r="W173" i="1"/>
  <c r="V173" i="1"/>
  <c r="U173" i="1"/>
  <c r="T173" i="1"/>
  <c r="X172" i="1"/>
  <c r="W172" i="1"/>
  <c r="V172" i="1"/>
  <c r="U172" i="1"/>
  <c r="T172" i="1"/>
  <c r="X171" i="1"/>
  <c r="W171" i="1"/>
  <c r="V171" i="1"/>
  <c r="U171" i="1"/>
  <c r="T171" i="1"/>
  <c r="X170" i="1"/>
  <c r="W170" i="1"/>
  <c r="V170" i="1"/>
  <c r="U170" i="1"/>
  <c r="T170" i="1"/>
  <c r="X169" i="1"/>
  <c r="W169" i="1"/>
  <c r="V169" i="1"/>
  <c r="U169" i="1"/>
  <c r="T169" i="1"/>
  <c r="X168" i="1"/>
  <c r="W168" i="1"/>
  <c r="V168" i="1"/>
  <c r="T168" i="1"/>
  <c r="X167" i="1"/>
  <c r="W167" i="1"/>
  <c r="V167" i="1"/>
  <c r="U167" i="1"/>
  <c r="T167" i="1"/>
  <c r="X166" i="1"/>
  <c r="W166" i="1"/>
  <c r="V166" i="1"/>
  <c r="U166" i="1"/>
  <c r="T166" i="1"/>
  <c r="X165" i="1"/>
  <c r="W165" i="1"/>
  <c r="V165" i="1"/>
  <c r="U165" i="1"/>
  <c r="T165" i="1"/>
  <c r="X164" i="1"/>
  <c r="W164" i="1"/>
  <c r="V164" i="1"/>
  <c r="U164" i="1"/>
  <c r="T164" i="1"/>
  <c r="X163" i="1"/>
  <c r="W163" i="1"/>
  <c r="V163" i="1"/>
  <c r="U163" i="1"/>
  <c r="T163" i="1"/>
  <c r="X162" i="1"/>
  <c r="W162" i="1"/>
  <c r="V162" i="1"/>
  <c r="U162" i="1"/>
  <c r="T162" i="1"/>
  <c r="X149" i="1"/>
  <c r="W149" i="1"/>
  <c r="V149" i="1"/>
  <c r="U149" i="1"/>
  <c r="T149" i="1"/>
  <c r="X148" i="1"/>
  <c r="W148" i="1"/>
  <c r="V148" i="1"/>
  <c r="U148" i="1"/>
  <c r="T148" i="1"/>
  <c r="X147" i="1"/>
  <c r="W147" i="1"/>
  <c r="V147" i="1"/>
  <c r="U147" i="1"/>
  <c r="T147" i="1"/>
  <c r="X146" i="1"/>
  <c r="W146" i="1"/>
  <c r="U146" i="1"/>
  <c r="T146" i="1"/>
  <c r="X145" i="1"/>
  <c r="W145" i="1"/>
  <c r="V145" i="1"/>
  <c r="U145" i="1"/>
  <c r="T145" i="1"/>
  <c r="X144" i="1"/>
  <c r="W144" i="1"/>
  <c r="V144" i="1"/>
  <c r="U144" i="1"/>
  <c r="T144" i="1"/>
  <c r="X143" i="1"/>
  <c r="W143" i="1"/>
  <c r="V143" i="1"/>
  <c r="U143" i="1"/>
  <c r="T143" i="1"/>
  <c r="X142" i="1"/>
  <c r="W142" i="1"/>
  <c r="V142" i="1"/>
  <c r="U142" i="1"/>
  <c r="T142" i="1"/>
  <c r="X133" i="1"/>
  <c r="W133" i="1"/>
  <c r="V133" i="1"/>
  <c r="U133" i="1"/>
  <c r="T133" i="1"/>
  <c r="X132" i="1"/>
  <c r="W132" i="1"/>
  <c r="V132" i="1"/>
  <c r="U132" i="1"/>
  <c r="T132" i="1"/>
  <c r="X131" i="1"/>
  <c r="W131" i="1"/>
  <c r="V131" i="1"/>
  <c r="U131" i="1"/>
  <c r="T131" i="1"/>
  <c r="X130" i="1"/>
  <c r="W130" i="1"/>
  <c r="V130" i="1"/>
  <c r="U130" i="1"/>
  <c r="T130" i="1"/>
  <c r="X117" i="1"/>
  <c r="W117" i="1"/>
  <c r="V117" i="1"/>
  <c r="T117" i="1"/>
  <c r="X116" i="1"/>
  <c r="W116" i="1"/>
  <c r="V116" i="1"/>
  <c r="U116" i="1"/>
  <c r="T116" i="1"/>
  <c r="X115" i="1"/>
  <c r="W115" i="1"/>
  <c r="V115" i="1"/>
  <c r="U115" i="1"/>
  <c r="T115" i="1"/>
  <c r="X114" i="1"/>
  <c r="W114" i="1"/>
  <c r="V114" i="1"/>
  <c r="U114" i="1"/>
  <c r="T114" i="1"/>
  <c r="X113" i="1"/>
  <c r="W113" i="1"/>
  <c r="V113" i="1"/>
  <c r="U113" i="1"/>
  <c r="T113" i="1"/>
  <c r="X112" i="1"/>
  <c r="W112" i="1"/>
  <c r="V112" i="1"/>
  <c r="U112" i="1"/>
  <c r="T112" i="1"/>
  <c r="X111" i="1"/>
  <c r="W111" i="1"/>
  <c r="V111" i="1"/>
  <c r="U111" i="1"/>
  <c r="T111" i="1"/>
  <c r="X110" i="1"/>
  <c r="W110" i="1"/>
  <c r="V110" i="1"/>
  <c r="U110" i="1"/>
  <c r="T110" i="1"/>
  <c r="X109" i="1"/>
  <c r="W109" i="1"/>
  <c r="V109" i="1"/>
  <c r="U109" i="1"/>
  <c r="T109" i="1"/>
  <c r="X108" i="1"/>
  <c r="W108" i="1"/>
  <c r="V108" i="1"/>
  <c r="U108" i="1"/>
  <c r="T108" i="1"/>
  <c r="X107" i="1"/>
  <c r="W107" i="1"/>
  <c r="V107" i="1"/>
  <c r="U107" i="1"/>
  <c r="T107" i="1"/>
  <c r="X106" i="1"/>
  <c r="W106" i="1"/>
  <c r="V106" i="1"/>
  <c r="U106" i="1"/>
  <c r="T106" i="1"/>
  <c r="X85" i="1"/>
  <c r="W85" i="1"/>
  <c r="V85" i="1"/>
  <c r="U85" i="1"/>
  <c r="T85" i="1"/>
  <c r="X84" i="1"/>
  <c r="W84" i="1"/>
  <c r="V84" i="1"/>
  <c r="U84" i="1"/>
  <c r="T84" i="1"/>
  <c r="X83" i="1"/>
  <c r="W83" i="1"/>
  <c r="V83" i="1"/>
  <c r="U83" i="1"/>
  <c r="T83" i="1"/>
  <c r="X82" i="1"/>
  <c r="W82" i="1"/>
  <c r="V82" i="1"/>
  <c r="U82" i="1"/>
  <c r="T82" i="1"/>
  <c r="X81" i="1"/>
  <c r="W81" i="1"/>
  <c r="V81" i="1"/>
  <c r="U81" i="1"/>
  <c r="T81" i="1"/>
  <c r="X80" i="1"/>
  <c r="W80" i="1"/>
  <c r="V80" i="1"/>
  <c r="U80" i="1"/>
  <c r="T80" i="1"/>
  <c r="X79" i="1"/>
  <c r="W79" i="1"/>
  <c r="V79" i="1"/>
  <c r="U79" i="1"/>
  <c r="T79" i="1"/>
  <c r="X78" i="1"/>
  <c r="W78" i="1"/>
  <c r="V78" i="1"/>
  <c r="U78" i="1"/>
  <c r="T78" i="1"/>
  <c r="X77" i="1"/>
  <c r="W77" i="1"/>
  <c r="V77" i="1"/>
  <c r="U77" i="1"/>
  <c r="T77" i="1"/>
  <c r="X76" i="1"/>
  <c r="W76" i="1"/>
  <c r="V76" i="1"/>
  <c r="U76" i="1"/>
  <c r="T76" i="1"/>
  <c r="X75" i="1"/>
  <c r="W75" i="1"/>
  <c r="V75" i="1"/>
  <c r="U75" i="1"/>
  <c r="T75" i="1"/>
  <c r="U74" i="1"/>
  <c r="V74" i="1"/>
  <c r="W74" i="1"/>
  <c r="X74" i="1"/>
  <c r="T74" i="1"/>
  <c r="A513" i="1"/>
  <c r="A512" i="1"/>
  <c r="A511" i="1"/>
  <c r="A510" i="1"/>
  <c r="A509" i="1"/>
  <c r="A508" i="1"/>
  <c r="A507" i="1"/>
  <c r="A506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09" i="1"/>
  <c r="A408" i="1"/>
  <c r="A407" i="1"/>
  <c r="A406" i="1"/>
  <c r="A405" i="1"/>
  <c r="A404" i="1"/>
  <c r="A403" i="1"/>
  <c r="A402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49" i="1"/>
  <c r="A148" i="1"/>
  <c r="A147" i="1"/>
  <c r="A146" i="1"/>
  <c r="A145" i="1"/>
  <c r="A144" i="1"/>
  <c r="A143" i="1"/>
  <c r="A142" i="1"/>
  <c r="A133" i="1"/>
  <c r="A132" i="1"/>
  <c r="A131" i="1"/>
  <c r="A130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85" i="1"/>
  <c r="A84" i="1"/>
  <c r="A83" i="1"/>
  <c r="A82" i="1"/>
  <c r="A81" i="1"/>
  <c r="A80" i="1"/>
  <c r="A79" i="1"/>
  <c r="A78" i="1"/>
  <c r="A77" i="1"/>
  <c r="A76" i="1"/>
  <c r="A75" i="1"/>
  <c r="A74" i="1"/>
</calcChain>
</file>

<file path=xl/sharedStrings.xml><?xml version="1.0" encoding="utf-8"?>
<sst xmlns="http://schemas.openxmlformats.org/spreadsheetml/2006/main" count="3751" uniqueCount="170">
  <si>
    <t>ExpNo</t>
  </si>
  <si>
    <t>SiteKey</t>
  </si>
  <si>
    <t>CropType</t>
  </si>
  <si>
    <t>SiteType</t>
  </si>
  <si>
    <t>Site</t>
  </si>
  <si>
    <t>Variety</t>
  </si>
  <si>
    <t>WaterTrt</t>
  </si>
  <si>
    <t>AgronomyTrt</t>
  </si>
  <si>
    <t>TOS</t>
  </si>
  <si>
    <t>SowDate</t>
  </si>
  <si>
    <t>Emergence</t>
  </si>
  <si>
    <t>Budding</t>
  </si>
  <si>
    <t>Flowering</t>
  </si>
  <si>
    <t>Podding</t>
  </si>
  <si>
    <t>Maturity</t>
  </si>
  <si>
    <t>critStart</t>
  </si>
  <si>
    <t>critEnd</t>
  </si>
  <si>
    <t>Comments</t>
  </si>
  <si>
    <t>2022001</t>
  </si>
  <si>
    <t>2022_Qld_Gatton_Chickpea_Detailed</t>
  </si>
  <si>
    <t>Chickpea</t>
  </si>
  <si>
    <t>Detailed</t>
  </si>
  <si>
    <t>Gatton</t>
  </si>
  <si>
    <t>CBA_Captain</t>
  </si>
  <si>
    <t>Irrigated</t>
  </si>
  <si>
    <t>RainFed</t>
  </si>
  <si>
    <t>PBA_Drummond</t>
  </si>
  <si>
    <t>PBA_HatTrick</t>
  </si>
  <si>
    <t>PBA_Striker</t>
  </si>
  <si>
    <t>2022002</t>
  </si>
  <si>
    <t>2022_Vic_Kalkee_Chickpea_Detailed</t>
  </si>
  <si>
    <t>Kalkee</t>
  </si>
  <si>
    <t>Emergence Date calculated as SowDate + 120 DD</t>
  </si>
  <si>
    <t>2022003</t>
  </si>
  <si>
    <t>2022_NSW_WaggaWagga_Chickpea_Detailed</t>
  </si>
  <si>
    <t>WaggaWagga</t>
  </si>
  <si>
    <t>2022004</t>
  </si>
  <si>
    <t>2022_SA_Riverton_Fababean_Detailed</t>
  </si>
  <si>
    <t>Fababean</t>
  </si>
  <si>
    <t>Riverton</t>
  </si>
  <si>
    <t>PBA_Amberley</t>
  </si>
  <si>
    <t>PBA_Marne</t>
  </si>
  <si>
    <t>PBA_Nasma</t>
  </si>
  <si>
    <t>PBA_Samira</t>
  </si>
  <si>
    <t>2022005</t>
  </si>
  <si>
    <t>2022_Vic_Kalkee_Lentil_Detailed</t>
  </si>
  <si>
    <t>Lentil</t>
  </si>
  <si>
    <t>PBA_Bolt</t>
  </si>
  <si>
    <t>PBA_HallmarkXT</t>
  </si>
  <si>
    <t>PBA_Jumbo2</t>
  </si>
  <si>
    <t>PBA_KelpieXT</t>
  </si>
  <si>
    <t>2022006</t>
  </si>
  <si>
    <t>2022_SA_Riverton_Lentil_Detailed</t>
  </si>
  <si>
    <t>Maturity date from harvest file. Crops were in 70's at 02/11/2022</t>
  </si>
  <si>
    <t>2022007</t>
  </si>
  <si>
    <t>2022_NSW_WaggaWagga_Lentil_Detailed</t>
  </si>
  <si>
    <t>2022008</t>
  </si>
  <si>
    <t>2022_WA_Deepdale_Chickpea_Satellite</t>
  </si>
  <si>
    <t>Satellite</t>
  </si>
  <si>
    <t>Deepdale</t>
  </si>
  <si>
    <t>D11006_13F3HRMT4PR0004</t>
  </si>
  <si>
    <t>D12014_14F3TMWR2AB001</t>
  </si>
  <si>
    <t>Genesis_090</t>
  </si>
  <si>
    <t>2022009</t>
  </si>
  <si>
    <t>2022_Qld_Emerald_Chickpea_Satellite</t>
  </si>
  <si>
    <t>Emerald</t>
  </si>
  <si>
    <t>2022010</t>
  </si>
  <si>
    <t>2022_NSW_Greenethorpe_Chickpea_Satellite</t>
  </si>
  <si>
    <t>Greenethorpe</t>
  </si>
  <si>
    <t>Emergence data from Tony's file</t>
  </si>
  <si>
    <t>2022011</t>
  </si>
  <si>
    <t>2022_Vic_Ouyen_Chickpea_Satellite</t>
  </si>
  <si>
    <t>Ouyen</t>
  </si>
  <si>
    <t>PBA_Magnus</t>
  </si>
  <si>
    <t>2022012</t>
  </si>
  <si>
    <t>2022_NSW_RankinsSprings_Chickpea_Satellite</t>
  </si>
  <si>
    <t>RankinsSprings</t>
  </si>
  <si>
    <t>PBA_Boundary</t>
  </si>
  <si>
    <t>PBA_Slasher</t>
  </si>
  <si>
    <t>2022013</t>
  </si>
  <si>
    <t>2022_Qld_Warra_Chickpea_Satellite</t>
  </si>
  <si>
    <t>Warra</t>
  </si>
  <si>
    <t>2022014</t>
  </si>
  <si>
    <t>2022_SA_Warnertown_Fababean_Satellite</t>
  </si>
  <si>
    <t>Warnertown</t>
  </si>
  <si>
    <t>Density_1</t>
  </si>
  <si>
    <t>Density_0.66</t>
  </si>
  <si>
    <t>2022015</t>
  </si>
  <si>
    <t>2022_NSW_Methul_Lentil_Satellite</t>
  </si>
  <si>
    <t>Methul</t>
  </si>
  <si>
    <t>2022016</t>
  </si>
  <si>
    <t>2022_Vic_Ouyen_Lentil_Satellite</t>
  </si>
  <si>
    <t>GIA_Leader</t>
  </si>
  <si>
    <t>GIA_Lightning</t>
  </si>
  <si>
    <t>2022017</t>
  </si>
  <si>
    <t>2022_NSW_RankinsSprings_Lentil_Satellite</t>
  </si>
  <si>
    <t>2022018</t>
  </si>
  <si>
    <t>2022_SA_Warnertown_Lentil_Satellite</t>
  </si>
  <si>
    <t>2023020</t>
  </si>
  <si>
    <t>2023_NSW_WaggaWagga_Fababean_Detailed</t>
  </si>
  <si>
    <t>2023021</t>
  </si>
  <si>
    <t>2023_NSW_WaggaWagga_Lupin_Detailed</t>
  </si>
  <si>
    <t>Lupin</t>
  </si>
  <si>
    <t>Mandelup</t>
  </si>
  <si>
    <t>PBA_Bateman</t>
  </si>
  <si>
    <t>PBA_Jurien</t>
  </si>
  <si>
    <t>Wonga</t>
  </si>
  <si>
    <t>2023022</t>
  </si>
  <si>
    <t>2023_Qld_Gatton_Chickpea_Detailed</t>
  </si>
  <si>
    <t>2023023</t>
  </si>
  <si>
    <t>2023_SA_Pinery_Fababean_Detailed</t>
  </si>
  <si>
    <t>Pinery</t>
  </si>
  <si>
    <t>2023024</t>
  </si>
  <si>
    <t>2023_SA_Pinery_Lentil_Detailed</t>
  </si>
  <si>
    <t>2023025</t>
  </si>
  <si>
    <t>2023_Vic_Dooen_Chickpea_Detailed</t>
  </si>
  <si>
    <t>Dooen</t>
  </si>
  <si>
    <t>2023026</t>
  </si>
  <si>
    <t>2023_Vic_Dooen_Lentil_Detailed</t>
  </si>
  <si>
    <t>2023027</t>
  </si>
  <si>
    <t>2023_WA_Northam_Chickpea_Detailed</t>
  </si>
  <si>
    <t>Northam</t>
  </si>
  <si>
    <t>2023028</t>
  </si>
  <si>
    <t>2023_NSW_RankinsSprings_Fababean_Satellite</t>
  </si>
  <si>
    <t>PBA_Ayla</t>
  </si>
  <si>
    <t>PBA_Nanu</t>
  </si>
  <si>
    <t>2023029</t>
  </si>
  <si>
    <t>2023_NSW_RankinsSprings_Lupin_Satellite</t>
  </si>
  <si>
    <t>Jindalee</t>
  </si>
  <si>
    <t>PBA_Gunyidi</t>
  </si>
  <si>
    <t>2023030</t>
  </si>
  <si>
    <t>2023_Qld_Emerald_Chickpea_Satellite</t>
  </si>
  <si>
    <t>2023031</t>
  </si>
  <si>
    <t>2023_Qld_Warra_Chickpea_Satellite</t>
  </si>
  <si>
    <t>2023032</t>
  </si>
  <si>
    <t>2023_SA_Warnertown_Fababean_Satellite</t>
  </si>
  <si>
    <t>2023033</t>
  </si>
  <si>
    <t>2023_SA_Warnertown_Lentil_Satellite</t>
  </si>
  <si>
    <t>2023034</t>
  </si>
  <si>
    <t>2023_Vic_Ouyen_Chickpea_Satellite</t>
  </si>
  <si>
    <t>Maturity was taken from harvest as TOS2 was in high 70's when scored on 15/10/2023</t>
  </si>
  <si>
    <t>2023035</t>
  </si>
  <si>
    <t>2023_Vic_Ouyen_Lentil_Satellite</t>
  </si>
  <si>
    <t>Maturity dates from the maturity harvest file</t>
  </si>
  <si>
    <t>2024037</t>
  </si>
  <si>
    <t>2024_Qld_Gatton_Chickpea_Detailed</t>
  </si>
  <si>
    <t>2024038</t>
  </si>
  <si>
    <t>2024_Vic_Kalkee_Chickpea_Detailed</t>
  </si>
  <si>
    <t>2024039</t>
  </si>
  <si>
    <t>2024_Vic_Kalkee_Fababean_Detailed</t>
  </si>
  <si>
    <t>2024040</t>
  </si>
  <si>
    <t>2024_WA_Bolgart_Chickpea_Detailed</t>
  </si>
  <si>
    <t>Bolgart</t>
  </si>
  <si>
    <t>2024042</t>
  </si>
  <si>
    <t>2024_SA_Warnertown_Fababean_Satellite</t>
  </si>
  <si>
    <t>2024043</t>
  </si>
  <si>
    <t>2024_SA_Warnertown_Lentil_Satellite</t>
  </si>
  <si>
    <t>2024044</t>
  </si>
  <si>
    <t>2024_Vic_Douglas_Fababean_Satellite</t>
  </si>
  <si>
    <t>Douglas</t>
  </si>
  <si>
    <t>2024045</t>
  </si>
  <si>
    <t>2024_Vic_Walpeup_Lentil_Satellite</t>
  </si>
  <si>
    <t>Walpeup</t>
  </si>
  <si>
    <t>SimulationName</t>
  </si>
  <si>
    <t>Ace</t>
  </si>
  <si>
    <t>Bolt</t>
  </si>
  <si>
    <t>Greenfield</t>
  </si>
  <si>
    <t>HallmarkXT</t>
  </si>
  <si>
    <t>Jumbo2</t>
  </si>
  <si>
    <t>KelpieXT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</si>
</sst>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513"/>
  <sheetViews>
    <sheetView tabSelected="1" workbookViewId="0">
      <pane ySplit="65" topLeftCell="A74" activePane="bottomLeft" state="frozen"/>
      <selection pane="bottomLeft" activeCell="A79" sqref="A79"/>
    </sheetView>
  </sheetViews>
  <sheetFormatPr defaultColWidth="11.5703125" defaultRowHeight="15" x14ac:dyDescent="0.25"/>
  <cols>
    <col min="1" max="1" width="94.85546875" bestFit="1" customWidth="1"/>
    <col min="3" max="3" width="43.7109375" bestFit="1" customWidth="1"/>
    <col min="6" max="6" width="14.42578125" bestFit="1" customWidth="1"/>
    <col min="7" max="7" width="25.140625" bestFit="1" customWidth="1"/>
    <col min="8" max="8" width="11.140625" bestFit="1" customWidth="1"/>
    <col min="17" max="18" width="0" hidden="1" customWidth="1"/>
  </cols>
  <sheetData>
    <row r="1" spans="1:19" x14ac:dyDescent="0.25">
      <c r="A1" t="s">
        <v>163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hidden="1" x14ac:dyDescent="0.25"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J2">
        <v>1</v>
      </c>
      <c r="K2" s="1">
        <v>44725</v>
      </c>
      <c r="L2" s="1">
        <v>44734</v>
      </c>
      <c r="M2" s="1">
        <v>44791</v>
      </c>
      <c r="N2" s="1">
        <v>44808</v>
      </c>
      <c r="O2" s="1">
        <v>44831</v>
      </c>
      <c r="P2" s="1">
        <v>44867</v>
      </c>
      <c r="Q2" s="1">
        <v>44780</v>
      </c>
      <c r="R2" s="1">
        <v>44843</v>
      </c>
    </row>
    <row r="3" spans="1:19" hidden="1" x14ac:dyDescent="0.25"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J3">
        <v>2</v>
      </c>
      <c r="K3" s="1">
        <v>44760</v>
      </c>
      <c r="L3" s="1">
        <v>44771</v>
      </c>
      <c r="M3" s="1">
        <v>44817</v>
      </c>
      <c r="N3" s="1">
        <v>44831</v>
      </c>
      <c r="O3" s="1">
        <v>44862</v>
      </c>
      <c r="P3" s="1">
        <v>44883</v>
      </c>
      <c r="Q3" s="1">
        <v>44810</v>
      </c>
      <c r="R3" s="1">
        <v>44862</v>
      </c>
    </row>
    <row r="4" spans="1:19" hidden="1" x14ac:dyDescent="0.25"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25</v>
      </c>
      <c r="J4">
        <v>1</v>
      </c>
      <c r="K4" s="1">
        <v>44725</v>
      </c>
      <c r="L4" s="1">
        <v>44734</v>
      </c>
      <c r="M4" s="1">
        <v>44789</v>
      </c>
      <c r="N4" s="1">
        <v>44808</v>
      </c>
      <c r="O4" s="1">
        <v>44824</v>
      </c>
      <c r="P4" s="1">
        <v>44865</v>
      </c>
      <c r="Q4" s="1">
        <v>44780</v>
      </c>
      <c r="R4" s="1">
        <v>44843</v>
      </c>
    </row>
    <row r="5" spans="1:19" hidden="1" x14ac:dyDescent="0.25"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25</v>
      </c>
      <c r="J5">
        <v>2</v>
      </c>
      <c r="K5" s="1">
        <v>44760</v>
      </c>
      <c r="L5" s="1">
        <v>44771</v>
      </c>
      <c r="M5" s="1">
        <v>44817</v>
      </c>
      <c r="N5" s="1">
        <v>44831</v>
      </c>
      <c r="O5" s="1">
        <v>44854</v>
      </c>
      <c r="P5" s="1">
        <v>44873</v>
      </c>
      <c r="Q5" s="1">
        <v>44810</v>
      </c>
      <c r="R5" s="1">
        <v>44862</v>
      </c>
    </row>
    <row r="6" spans="1:19" hidden="1" x14ac:dyDescent="0.25"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26</v>
      </c>
      <c r="H6" t="s">
        <v>24</v>
      </c>
      <c r="J6">
        <v>1</v>
      </c>
      <c r="K6" s="1">
        <v>44725</v>
      </c>
      <c r="L6" s="1">
        <v>44734</v>
      </c>
      <c r="M6" s="1">
        <v>44795</v>
      </c>
      <c r="N6" s="1">
        <v>44808</v>
      </c>
      <c r="O6" s="1">
        <v>44831</v>
      </c>
      <c r="P6" s="1">
        <v>44869</v>
      </c>
      <c r="Q6" s="1">
        <v>44780</v>
      </c>
      <c r="R6" s="1">
        <v>44843</v>
      </c>
    </row>
    <row r="7" spans="1:19" hidden="1" x14ac:dyDescent="0.25"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26</v>
      </c>
      <c r="H7" t="s">
        <v>24</v>
      </c>
      <c r="J7">
        <v>2</v>
      </c>
      <c r="K7" s="1">
        <v>44760</v>
      </c>
      <c r="L7" s="1">
        <v>44771</v>
      </c>
      <c r="M7" s="1">
        <v>44831</v>
      </c>
      <c r="N7" s="1">
        <v>44838</v>
      </c>
      <c r="O7" s="1">
        <v>44862</v>
      </c>
      <c r="P7" s="1">
        <v>44883</v>
      </c>
      <c r="Q7" s="1">
        <v>44817</v>
      </c>
      <c r="R7" s="1">
        <v>44868</v>
      </c>
    </row>
    <row r="8" spans="1:19" hidden="1" x14ac:dyDescent="0.25"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26</v>
      </c>
      <c r="H8" t="s">
        <v>25</v>
      </c>
      <c r="J8">
        <v>1</v>
      </c>
      <c r="K8" s="1">
        <v>44725</v>
      </c>
      <c r="L8" s="1">
        <v>44734</v>
      </c>
      <c r="M8" s="1">
        <v>44795</v>
      </c>
      <c r="N8" s="1">
        <v>44809</v>
      </c>
      <c r="O8" s="1">
        <v>44831</v>
      </c>
      <c r="P8" s="1">
        <v>44865</v>
      </c>
      <c r="Q8" s="1">
        <v>44781</v>
      </c>
      <c r="R8" s="1">
        <v>44844</v>
      </c>
    </row>
    <row r="9" spans="1:19" hidden="1" x14ac:dyDescent="0.25"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26</v>
      </c>
      <c r="H9" t="s">
        <v>25</v>
      </c>
      <c r="J9">
        <v>2</v>
      </c>
      <c r="K9" s="1">
        <v>44760</v>
      </c>
      <c r="L9" s="1">
        <v>44771</v>
      </c>
      <c r="M9" s="1">
        <v>44817</v>
      </c>
      <c r="N9" s="1">
        <v>44831</v>
      </c>
      <c r="O9" s="1">
        <v>44858</v>
      </c>
      <c r="P9" s="1">
        <v>44873</v>
      </c>
      <c r="Q9" s="1">
        <v>44810</v>
      </c>
      <c r="R9" s="1">
        <v>44862</v>
      </c>
    </row>
    <row r="10" spans="1:19" hidden="1" x14ac:dyDescent="0.25"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27</v>
      </c>
      <c r="H10" t="s">
        <v>24</v>
      </c>
      <c r="J10">
        <v>1</v>
      </c>
      <c r="K10" s="1">
        <v>44725</v>
      </c>
      <c r="L10" s="1">
        <v>44734</v>
      </c>
      <c r="M10" s="1">
        <v>44795</v>
      </c>
      <c r="N10" s="1">
        <v>44808</v>
      </c>
      <c r="O10" s="1">
        <v>44831</v>
      </c>
      <c r="P10" s="1">
        <v>44872</v>
      </c>
      <c r="Q10" s="1">
        <v>44780</v>
      </c>
      <c r="R10" s="1">
        <v>44843</v>
      </c>
    </row>
    <row r="11" spans="1:19" hidden="1" x14ac:dyDescent="0.25"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27</v>
      </c>
      <c r="H11" t="s">
        <v>24</v>
      </c>
      <c r="J11">
        <v>2</v>
      </c>
      <c r="K11" s="1">
        <v>44760</v>
      </c>
      <c r="L11" s="1">
        <v>44771</v>
      </c>
      <c r="M11" s="1">
        <v>44831</v>
      </c>
      <c r="N11" s="1">
        <v>44838</v>
      </c>
      <c r="O11" s="1">
        <v>44862</v>
      </c>
      <c r="P11" s="1">
        <v>44883</v>
      </c>
      <c r="Q11" s="1">
        <v>44817</v>
      </c>
      <c r="R11" s="1">
        <v>44868</v>
      </c>
    </row>
    <row r="12" spans="1:19" hidden="1" x14ac:dyDescent="0.25"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27</v>
      </c>
      <c r="H12" t="s">
        <v>25</v>
      </c>
      <c r="J12">
        <v>1</v>
      </c>
      <c r="K12" s="1">
        <v>44725</v>
      </c>
      <c r="L12" s="1">
        <v>44734</v>
      </c>
      <c r="M12" s="1">
        <v>44795</v>
      </c>
      <c r="N12" s="1">
        <v>44809</v>
      </c>
      <c r="O12" s="1">
        <v>44831</v>
      </c>
      <c r="P12" s="1">
        <v>44867</v>
      </c>
      <c r="Q12" s="1">
        <v>44781</v>
      </c>
      <c r="R12" s="1">
        <v>44844</v>
      </c>
    </row>
    <row r="13" spans="1:19" hidden="1" x14ac:dyDescent="0.25"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27</v>
      </c>
      <c r="H13" t="s">
        <v>25</v>
      </c>
      <c r="J13">
        <v>2</v>
      </c>
      <c r="K13" s="1">
        <v>44760</v>
      </c>
      <c r="L13" s="1">
        <v>44771</v>
      </c>
      <c r="M13" s="1">
        <v>44817</v>
      </c>
      <c r="N13" s="1">
        <v>44831</v>
      </c>
      <c r="O13" s="1">
        <v>44858</v>
      </c>
      <c r="P13" s="1">
        <v>44872</v>
      </c>
      <c r="Q13" s="1">
        <v>44810</v>
      </c>
      <c r="R13" s="1">
        <v>44862</v>
      </c>
    </row>
    <row r="14" spans="1:19" hidden="1" x14ac:dyDescent="0.25"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28</v>
      </c>
      <c r="H14" t="s">
        <v>24</v>
      </c>
      <c r="J14">
        <v>1</v>
      </c>
      <c r="K14" s="1">
        <v>44725</v>
      </c>
      <c r="L14" s="1">
        <v>44734</v>
      </c>
      <c r="M14" s="1">
        <v>44782</v>
      </c>
      <c r="N14" s="1">
        <v>44808</v>
      </c>
      <c r="O14" s="1">
        <v>44831</v>
      </c>
      <c r="P14" s="1">
        <v>44872</v>
      </c>
      <c r="Q14" s="1">
        <v>44780</v>
      </c>
      <c r="R14" s="1">
        <v>44843</v>
      </c>
    </row>
    <row r="15" spans="1:19" hidden="1" x14ac:dyDescent="0.25"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28</v>
      </c>
      <c r="H15" t="s">
        <v>24</v>
      </c>
      <c r="J15">
        <v>2</v>
      </c>
      <c r="K15" s="1">
        <v>44760</v>
      </c>
      <c r="L15" s="1">
        <v>44771</v>
      </c>
      <c r="M15" s="1">
        <v>44810</v>
      </c>
      <c r="N15" s="1">
        <v>44831</v>
      </c>
      <c r="O15" s="1">
        <v>44858</v>
      </c>
      <c r="P15" s="1">
        <v>44884</v>
      </c>
      <c r="Q15" s="1">
        <v>44810</v>
      </c>
      <c r="R15" s="1">
        <v>44862</v>
      </c>
    </row>
    <row r="16" spans="1:19" hidden="1" x14ac:dyDescent="0.25"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28</v>
      </c>
      <c r="H16" t="s">
        <v>25</v>
      </c>
      <c r="J16">
        <v>1</v>
      </c>
      <c r="K16" s="1">
        <v>44725</v>
      </c>
      <c r="L16" s="1">
        <v>44734</v>
      </c>
      <c r="M16" s="1">
        <v>44782</v>
      </c>
      <c r="N16" s="1">
        <v>44808</v>
      </c>
      <c r="O16" s="1">
        <v>44820</v>
      </c>
      <c r="P16" s="1">
        <v>44867</v>
      </c>
      <c r="Q16" s="1">
        <v>44780</v>
      </c>
      <c r="R16" s="1">
        <v>44843</v>
      </c>
    </row>
    <row r="17" spans="2:19" hidden="1" x14ac:dyDescent="0.25"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28</v>
      </c>
      <c r="H17" t="s">
        <v>25</v>
      </c>
      <c r="J17">
        <v>2</v>
      </c>
      <c r="K17" s="1">
        <v>44760</v>
      </c>
      <c r="L17" s="1">
        <v>44771</v>
      </c>
      <c r="M17" s="1">
        <v>44809</v>
      </c>
      <c r="N17" s="1">
        <v>44831</v>
      </c>
      <c r="O17" s="1">
        <v>44846</v>
      </c>
      <c r="P17" s="1">
        <v>44872</v>
      </c>
      <c r="Q17" s="1">
        <v>44810</v>
      </c>
      <c r="R17" s="1">
        <v>44862</v>
      </c>
    </row>
    <row r="18" spans="2:19" hidden="1" x14ac:dyDescent="0.25">
      <c r="B18" t="s">
        <v>29</v>
      </c>
      <c r="C18" t="s">
        <v>30</v>
      </c>
      <c r="D18" t="s">
        <v>20</v>
      </c>
      <c r="E18" t="s">
        <v>21</v>
      </c>
      <c r="F18" t="s">
        <v>31</v>
      </c>
      <c r="G18" t="s">
        <v>23</v>
      </c>
      <c r="H18" t="s">
        <v>25</v>
      </c>
      <c r="J18">
        <v>1</v>
      </c>
      <c r="K18" s="1">
        <v>44704</v>
      </c>
      <c r="L18" s="1">
        <v>44724</v>
      </c>
      <c r="M18" s="1">
        <v>44809</v>
      </c>
      <c r="N18" s="1">
        <v>44836</v>
      </c>
      <c r="O18" s="1">
        <v>44855</v>
      </c>
      <c r="P18" s="1">
        <v>44914</v>
      </c>
      <c r="Q18" s="1">
        <v>44792</v>
      </c>
      <c r="R18" s="1">
        <v>44884</v>
      </c>
      <c r="S18" t="s">
        <v>32</v>
      </c>
    </row>
    <row r="19" spans="2:19" hidden="1" x14ac:dyDescent="0.25">
      <c r="B19" t="s">
        <v>29</v>
      </c>
      <c r="C19" t="s">
        <v>30</v>
      </c>
      <c r="D19" t="s">
        <v>20</v>
      </c>
      <c r="E19" t="s">
        <v>21</v>
      </c>
      <c r="F19" t="s">
        <v>31</v>
      </c>
      <c r="G19" t="s">
        <v>23</v>
      </c>
      <c r="H19" t="s">
        <v>25</v>
      </c>
      <c r="J19">
        <v>2</v>
      </c>
      <c r="K19" s="1">
        <v>44740</v>
      </c>
      <c r="L19" s="1">
        <v>44770</v>
      </c>
      <c r="M19" s="1">
        <v>44831</v>
      </c>
      <c r="N19" s="1">
        <v>44856</v>
      </c>
      <c r="O19" s="1">
        <v>44874</v>
      </c>
      <c r="P19" s="1">
        <v>44914</v>
      </c>
      <c r="Q19" s="1">
        <v>44824</v>
      </c>
      <c r="R19" s="1">
        <v>44900</v>
      </c>
    </row>
    <row r="20" spans="2:19" hidden="1" x14ac:dyDescent="0.25">
      <c r="B20" t="s">
        <v>29</v>
      </c>
      <c r="C20" t="s">
        <v>30</v>
      </c>
      <c r="D20" t="s">
        <v>20</v>
      </c>
      <c r="E20" t="s">
        <v>21</v>
      </c>
      <c r="F20" t="s">
        <v>31</v>
      </c>
      <c r="G20" t="s">
        <v>26</v>
      </c>
      <c r="H20" t="s">
        <v>25</v>
      </c>
      <c r="J20">
        <v>1</v>
      </c>
      <c r="K20" s="1">
        <v>44704</v>
      </c>
      <c r="L20" s="1">
        <v>44735</v>
      </c>
      <c r="M20" s="1">
        <v>44811</v>
      </c>
      <c r="N20" s="1">
        <v>44856</v>
      </c>
      <c r="O20" s="1">
        <v>44858</v>
      </c>
      <c r="P20" s="1">
        <v>44914</v>
      </c>
      <c r="Q20" s="1">
        <v>44822</v>
      </c>
      <c r="R20" s="1">
        <v>44900</v>
      </c>
    </row>
    <row r="21" spans="2:19" hidden="1" x14ac:dyDescent="0.25">
      <c r="B21" t="s">
        <v>29</v>
      </c>
      <c r="C21" t="s">
        <v>30</v>
      </c>
      <c r="D21" t="s">
        <v>20</v>
      </c>
      <c r="E21" t="s">
        <v>21</v>
      </c>
      <c r="F21" t="s">
        <v>31</v>
      </c>
      <c r="G21" t="s">
        <v>26</v>
      </c>
      <c r="H21" t="s">
        <v>25</v>
      </c>
      <c r="J21">
        <v>2</v>
      </c>
      <c r="K21" s="1">
        <v>44740</v>
      </c>
      <c r="L21" s="1">
        <v>44770</v>
      </c>
      <c r="M21" s="1">
        <v>44832</v>
      </c>
      <c r="N21" s="1">
        <v>44862</v>
      </c>
      <c r="O21" s="1">
        <v>44874</v>
      </c>
      <c r="P21" s="1">
        <v>44914</v>
      </c>
      <c r="Q21" s="1">
        <v>44832</v>
      </c>
      <c r="R21" s="1">
        <v>44906</v>
      </c>
    </row>
    <row r="22" spans="2:19" hidden="1" x14ac:dyDescent="0.25">
      <c r="B22" t="s">
        <v>29</v>
      </c>
      <c r="C22" t="s">
        <v>30</v>
      </c>
      <c r="D22" t="s">
        <v>20</v>
      </c>
      <c r="E22" t="s">
        <v>21</v>
      </c>
      <c r="F22" t="s">
        <v>31</v>
      </c>
      <c r="G22" t="s">
        <v>27</v>
      </c>
      <c r="H22" t="s">
        <v>25</v>
      </c>
      <c r="J22">
        <v>1</v>
      </c>
      <c r="K22" s="1">
        <v>44704</v>
      </c>
      <c r="L22" s="1">
        <v>44735</v>
      </c>
      <c r="M22" s="1">
        <v>44813</v>
      </c>
      <c r="N22" s="1">
        <v>44858</v>
      </c>
      <c r="O22" s="1">
        <v>44865</v>
      </c>
      <c r="P22" s="1">
        <v>44914</v>
      </c>
      <c r="Q22" s="1">
        <v>44826</v>
      </c>
      <c r="R22" s="1">
        <v>44902</v>
      </c>
    </row>
    <row r="23" spans="2:19" hidden="1" x14ac:dyDescent="0.25">
      <c r="B23" t="s">
        <v>29</v>
      </c>
      <c r="C23" t="s">
        <v>30</v>
      </c>
      <c r="D23" t="s">
        <v>20</v>
      </c>
      <c r="E23" t="s">
        <v>21</v>
      </c>
      <c r="F23" t="s">
        <v>31</v>
      </c>
      <c r="G23" t="s">
        <v>27</v>
      </c>
      <c r="H23" t="s">
        <v>25</v>
      </c>
      <c r="J23">
        <v>2</v>
      </c>
      <c r="K23" s="1">
        <v>44740</v>
      </c>
      <c r="L23" s="1">
        <v>44770</v>
      </c>
      <c r="M23" s="1">
        <v>44833</v>
      </c>
      <c r="N23" s="1">
        <v>44862</v>
      </c>
      <c r="O23" s="1">
        <v>44874</v>
      </c>
      <c r="P23" s="1">
        <v>44914</v>
      </c>
      <c r="Q23" s="1">
        <v>44832</v>
      </c>
      <c r="R23" s="1">
        <v>44906</v>
      </c>
    </row>
    <row r="24" spans="2:19" hidden="1" x14ac:dyDescent="0.25">
      <c r="B24" t="s">
        <v>29</v>
      </c>
      <c r="C24" t="s">
        <v>30</v>
      </c>
      <c r="D24" t="s">
        <v>20</v>
      </c>
      <c r="E24" t="s">
        <v>21</v>
      </c>
      <c r="F24" t="s">
        <v>31</v>
      </c>
      <c r="G24" t="s">
        <v>28</v>
      </c>
      <c r="H24" t="s">
        <v>25</v>
      </c>
      <c r="J24">
        <v>1</v>
      </c>
      <c r="K24" s="1">
        <v>44704</v>
      </c>
      <c r="L24" s="1">
        <v>44724</v>
      </c>
      <c r="M24" s="1">
        <v>44809</v>
      </c>
      <c r="N24" s="1">
        <v>44836</v>
      </c>
      <c r="O24" s="1">
        <v>44857</v>
      </c>
      <c r="P24" s="1">
        <v>44914</v>
      </c>
      <c r="Q24" s="1">
        <v>44792</v>
      </c>
      <c r="R24" s="1">
        <v>44884</v>
      </c>
      <c r="S24" t="s">
        <v>32</v>
      </c>
    </row>
    <row r="25" spans="2:19" hidden="1" x14ac:dyDescent="0.25">
      <c r="B25" t="s">
        <v>29</v>
      </c>
      <c r="C25" t="s">
        <v>30</v>
      </c>
      <c r="D25" t="s">
        <v>20</v>
      </c>
      <c r="E25" t="s">
        <v>21</v>
      </c>
      <c r="F25" t="s">
        <v>31</v>
      </c>
      <c r="G25" t="s">
        <v>28</v>
      </c>
      <c r="H25" t="s">
        <v>25</v>
      </c>
      <c r="J25">
        <v>2</v>
      </c>
      <c r="K25" s="1">
        <v>44740</v>
      </c>
      <c r="L25" s="1">
        <v>44770</v>
      </c>
      <c r="M25" s="1">
        <v>44832</v>
      </c>
      <c r="N25" s="1">
        <v>44857</v>
      </c>
      <c r="O25" s="1">
        <v>44874</v>
      </c>
      <c r="P25" s="1">
        <v>44914</v>
      </c>
      <c r="Q25" s="1">
        <v>44825</v>
      </c>
      <c r="R25" s="1">
        <v>44901</v>
      </c>
    </row>
    <row r="26" spans="2:19" hidden="1" x14ac:dyDescent="0.25">
      <c r="B26" t="s">
        <v>33</v>
      </c>
      <c r="C26" t="s">
        <v>34</v>
      </c>
      <c r="D26" t="s">
        <v>20</v>
      </c>
      <c r="E26" t="s">
        <v>21</v>
      </c>
      <c r="F26" t="s">
        <v>35</v>
      </c>
      <c r="G26" t="s">
        <v>23</v>
      </c>
      <c r="H26" t="s">
        <v>25</v>
      </c>
      <c r="J26">
        <v>1</v>
      </c>
      <c r="K26" s="1">
        <v>44692</v>
      </c>
      <c r="L26" s="1">
        <v>44706</v>
      </c>
      <c r="M26" s="1">
        <v>44804</v>
      </c>
      <c r="N26" s="1">
        <v>44823</v>
      </c>
      <c r="O26" s="1">
        <v>44865</v>
      </c>
      <c r="P26" s="1">
        <v>44930</v>
      </c>
      <c r="Q26" s="1">
        <v>44777</v>
      </c>
      <c r="R26" s="1">
        <v>44871</v>
      </c>
    </row>
    <row r="27" spans="2:19" hidden="1" x14ac:dyDescent="0.25">
      <c r="B27" t="s">
        <v>33</v>
      </c>
      <c r="C27" t="s">
        <v>34</v>
      </c>
      <c r="D27" t="s">
        <v>20</v>
      </c>
      <c r="E27" t="s">
        <v>21</v>
      </c>
      <c r="F27" t="s">
        <v>35</v>
      </c>
      <c r="G27" t="s">
        <v>23</v>
      </c>
      <c r="H27" t="s">
        <v>25</v>
      </c>
      <c r="J27">
        <v>2</v>
      </c>
      <c r="K27" s="1">
        <v>44727</v>
      </c>
      <c r="L27" s="1">
        <v>44743</v>
      </c>
      <c r="M27" s="1">
        <v>44838</v>
      </c>
      <c r="N27" s="1">
        <v>44849</v>
      </c>
      <c r="O27" s="1">
        <v>44879</v>
      </c>
      <c r="P27" s="1">
        <v>44930</v>
      </c>
      <c r="Q27" s="1">
        <v>44815</v>
      </c>
      <c r="R27" s="1">
        <v>44889</v>
      </c>
    </row>
    <row r="28" spans="2:19" hidden="1" x14ac:dyDescent="0.25">
      <c r="B28" t="s">
        <v>33</v>
      </c>
      <c r="C28" t="s">
        <v>34</v>
      </c>
      <c r="D28" t="s">
        <v>20</v>
      </c>
      <c r="E28" t="s">
        <v>21</v>
      </c>
      <c r="F28" t="s">
        <v>35</v>
      </c>
      <c r="G28" t="s">
        <v>26</v>
      </c>
      <c r="H28" t="s">
        <v>25</v>
      </c>
      <c r="J28">
        <v>1</v>
      </c>
      <c r="K28" s="1">
        <v>44692</v>
      </c>
      <c r="L28" s="1">
        <v>44706</v>
      </c>
      <c r="M28" s="1">
        <v>44807</v>
      </c>
      <c r="N28" s="1">
        <v>44848</v>
      </c>
      <c r="O28" s="1">
        <v>44875</v>
      </c>
      <c r="P28" s="1">
        <v>44930</v>
      </c>
      <c r="Q28" s="1">
        <v>44816</v>
      </c>
      <c r="R28" s="1">
        <v>44889</v>
      </c>
    </row>
    <row r="29" spans="2:19" hidden="1" x14ac:dyDescent="0.25">
      <c r="B29" t="s">
        <v>33</v>
      </c>
      <c r="C29" t="s">
        <v>34</v>
      </c>
      <c r="D29" t="s">
        <v>20</v>
      </c>
      <c r="E29" t="s">
        <v>21</v>
      </c>
      <c r="F29" t="s">
        <v>35</v>
      </c>
      <c r="G29" t="s">
        <v>26</v>
      </c>
      <c r="H29" t="s">
        <v>25</v>
      </c>
      <c r="J29">
        <v>2</v>
      </c>
      <c r="K29" s="1">
        <v>44727</v>
      </c>
      <c r="L29" s="1">
        <v>44743</v>
      </c>
      <c r="M29" s="1">
        <v>44838</v>
      </c>
      <c r="N29" s="1">
        <v>44855</v>
      </c>
      <c r="O29" s="1">
        <v>44880</v>
      </c>
      <c r="P29" s="1">
        <v>44930</v>
      </c>
      <c r="Q29" s="1">
        <v>44824</v>
      </c>
      <c r="R29" s="1">
        <v>44895</v>
      </c>
    </row>
    <row r="30" spans="2:19" hidden="1" x14ac:dyDescent="0.25">
      <c r="B30" t="s">
        <v>33</v>
      </c>
      <c r="C30" t="s">
        <v>34</v>
      </c>
      <c r="D30" t="s">
        <v>20</v>
      </c>
      <c r="E30" t="s">
        <v>21</v>
      </c>
      <c r="F30" t="s">
        <v>35</v>
      </c>
      <c r="G30" t="s">
        <v>27</v>
      </c>
      <c r="H30" t="s">
        <v>25</v>
      </c>
      <c r="J30">
        <v>1</v>
      </c>
      <c r="K30" s="1">
        <v>44692</v>
      </c>
      <c r="L30" s="1">
        <v>44706</v>
      </c>
      <c r="M30" s="1">
        <v>44807</v>
      </c>
      <c r="N30" s="1">
        <v>44852</v>
      </c>
      <c r="O30" s="1">
        <v>44879</v>
      </c>
      <c r="P30" s="1">
        <v>44930</v>
      </c>
      <c r="Q30" s="1">
        <v>44821</v>
      </c>
      <c r="R30" s="1">
        <v>44893</v>
      </c>
    </row>
    <row r="31" spans="2:19" hidden="1" x14ac:dyDescent="0.25">
      <c r="B31" t="s">
        <v>33</v>
      </c>
      <c r="C31" t="s">
        <v>34</v>
      </c>
      <c r="D31" t="s">
        <v>20</v>
      </c>
      <c r="E31" t="s">
        <v>21</v>
      </c>
      <c r="F31" t="s">
        <v>35</v>
      </c>
      <c r="G31" t="s">
        <v>27</v>
      </c>
      <c r="H31" t="s">
        <v>25</v>
      </c>
      <c r="J31">
        <v>2</v>
      </c>
      <c r="K31" s="1">
        <v>44727</v>
      </c>
      <c r="L31" s="1">
        <v>44743</v>
      </c>
      <c r="M31" s="1">
        <v>44838</v>
      </c>
      <c r="N31" s="1">
        <v>44854</v>
      </c>
      <c r="O31" s="1">
        <v>44880</v>
      </c>
      <c r="P31" s="1">
        <v>44930</v>
      </c>
      <c r="Q31" s="1">
        <v>44823</v>
      </c>
      <c r="R31" s="1">
        <v>44894</v>
      </c>
    </row>
    <row r="32" spans="2:19" hidden="1" x14ac:dyDescent="0.25">
      <c r="B32" t="s">
        <v>33</v>
      </c>
      <c r="C32" t="s">
        <v>34</v>
      </c>
      <c r="D32" t="s">
        <v>20</v>
      </c>
      <c r="E32" t="s">
        <v>21</v>
      </c>
      <c r="F32" t="s">
        <v>35</v>
      </c>
      <c r="G32" t="s">
        <v>28</v>
      </c>
      <c r="H32" t="s">
        <v>25</v>
      </c>
      <c r="J32">
        <v>1</v>
      </c>
      <c r="K32" s="1">
        <v>44692</v>
      </c>
      <c r="L32" s="1">
        <v>44706</v>
      </c>
      <c r="M32" s="1">
        <v>44788</v>
      </c>
      <c r="N32" s="1">
        <v>44830</v>
      </c>
      <c r="O32" s="1">
        <v>44874</v>
      </c>
      <c r="P32" s="1">
        <v>44930</v>
      </c>
      <c r="Q32" s="1">
        <v>44788</v>
      </c>
      <c r="R32" s="1">
        <v>44875</v>
      </c>
    </row>
    <row r="33" spans="2:18" hidden="1" x14ac:dyDescent="0.25">
      <c r="B33" t="s">
        <v>33</v>
      </c>
      <c r="C33" t="s">
        <v>34</v>
      </c>
      <c r="D33" t="s">
        <v>20</v>
      </c>
      <c r="E33" t="s">
        <v>21</v>
      </c>
      <c r="F33" t="s">
        <v>35</v>
      </c>
      <c r="G33" t="s">
        <v>28</v>
      </c>
      <c r="H33" t="s">
        <v>25</v>
      </c>
      <c r="J33">
        <v>2</v>
      </c>
      <c r="K33" s="1">
        <v>44727</v>
      </c>
      <c r="L33" s="1">
        <v>44743</v>
      </c>
      <c r="M33" s="1">
        <v>44834</v>
      </c>
      <c r="N33" s="1">
        <v>44851</v>
      </c>
      <c r="O33" s="1">
        <v>44890</v>
      </c>
      <c r="P33" s="1">
        <v>44930</v>
      </c>
      <c r="Q33" s="1">
        <v>44819</v>
      </c>
      <c r="R33" s="1">
        <v>44892</v>
      </c>
    </row>
    <row r="34" spans="2:18" hidden="1" x14ac:dyDescent="0.25">
      <c r="B34" t="s">
        <v>36</v>
      </c>
      <c r="C34" t="s">
        <v>37</v>
      </c>
      <c r="D34" t="s">
        <v>38</v>
      </c>
      <c r="E34" t="s">
        <v>21</v>
      </c>
      <c r="F34" t="s">
        <v>39</v>
      </c>
      <c r="G34" t="s">
        <v>40</v>
      </c>
      <c r="H34" t="s">
        <v>25</v>
      </c>
      <c r="J34">
        <v>1</v>
      </c>
      <c r="K34" s="1">
        <v>44730</v>
      </c>
      <c r="L34" s="1">
        <v>44743</v>
      </c>
      <c r="M34" s="1">
        <v>44804</v>
      </c>
      <c r="N34" s="1">
        <v>44823</v>
      </c>
      <c r="O34" s="1">
        <v>44844</v>
      </c>
      <c r="P34" s="1">
        <v>44890</v>
      </c>
      <c r="Q34" s="1">
        <v>44795</v>
      </c>
      <c r="R34" s="1">
        <v>44859</v>
      </c>
    </row>
    <row r="35" spans="2:18" hidden="1" x14ac:dyDescent="0.25">
      <c r="B35" t="s">
        <v>36</v>
      </c>
      <c r="C35" t="s">
        <v>37</v>
      </c>
      <c r="D35" t="s">
        <v>38</v>
      </c>
      <c r="E35" t="s">
        <v>21</v>
      </c>
      <c r="F35" t="s">
        <v>39</v>
      </c>
      <c r="G35" t="s">
        <v>40</v>
      </c>
      <c r="H35" t="s">
        <v>25</v>
      </c>
      <c r="J35">
        <v>2</v>
      </c>
      <c r="K35" s="1">
        <v>44756</v>
      </c>
      <c r="L35" s="1">
        <v>44778</v>
      </c>
      <c r="M35" s="1">
        <v>44831</v>
      </c>
      <c r="N35" s="1">
        <v>44839</v>
      </c>
      <c r="O35" s="1">
        <v>44861</v>
      </c>
      <c r="P35" s="1">
        <v>44890</v>
      </c>
      <c r="Q35" s="1">
        <v>44816</v>
      </c>
      <c r="R35" s="1">
        <v>44873</v>
      </c>
    </row>
    <row r="36" spans="2:18" hidden="1" x14ac:dyDescent="0.25">
      <c r="B36" t="s">
        <v>36</v>
      </c>
      <c r="C36" t="s">
        <v>37</v>
      </c>
      <c r="D36" t="s">
        <v>38</v>
      </c>
      <c r="E36" t="s">
        <v>21</v>
      </c>
      <c r="F36" t="s">
        <v>39</v>
      </c>
      <c r="G36" t="s">
        <v>41</v>
      </c>
      <c r="H36" t="s">
        <v>25</v>
      </c>
      <c r="J36">
        <v>1</v>
      </c>
      <c r="K36" s="1">
        <v>44730</v>
      </c>
      <c r="L36" s="1">
        <v>44743</v>
      </c>
      <c r="M36" s="1">
        <v>44804</v>
      </c>
      <c r="N36" s="1">
        <v>44821</v>
      </c>
      <c r="O36" s="1">
        <v>44842</v>
      </c>
      <c r="P36" s="1">
        <v>44890</v>
      </c>
      <c r="Q36" s="1">
        <v>44793</v>
      </c>
      <c r="R36" s="1">
        <v>44857</v>
      </c>
    </row>
    <row r="37" spans="2:18" hidden="1" x14ac:dyDescent="0.25">
      <c r="B37" t="s">
        <v>36</v>
      </c>
      <c r="C37" t="s">
        <v>37</v>
      </c>
      <c r="D37" t="s">
        <v>38</v>
      </c>
      <c r="E37" t="s">
        <v>21</v>
      </c>
      <c r="F37" t="s">
        <v>39</v>
      </c>
      <c r="G37" t="s">
        <v>41</v>
      </c>
      <c r="H37" t="s">
        <v>25</v>
      </c>
      <c r="J37">
        <v>2</v>
      </c>
      <c r="K37" s="1">
        <v>44756</v>
      </c>
      <c r="L37" s="1">
        <v>44778</v>
      </c>
      <c r="M37" s="1">
        <v>44831</v>
      </c>
      <c r="N37" s="1">
        <v>44839</v>
      </c>
      <c r="O37" s="1">
        <v>44861</v>
      </c>
      <c r="P37" s="1">
        <v>44890</v>
      </c>
      <c r="Q37" s="1">
        <v>44815</v>
      </c>
      <c r="R37" s="1">
        <v>44873</v>
      </c>
    </row>
    <row r="38" spans="2:18" hidden="1" x14ac:dyDescent="0.25">
      <c r="B38" t="s">
        <v>36</v>
      </c>
      <c r="C38" t="s">
        <v>37</v>
      </c>
      <c r="D38" t="s">
        <v>38</v>
      </c>
      <c r="E38" t="s">
        <v>21</v>
      </c>
      <c r="F38" t="s">
        <v>39</v>
      </c>
      <c r="G38" t="s">
        <v>42</v>
      </c>
      <c r="H38" t="s">
        <v>25</v>
      </c>
      <c r="J38">
        <v>1</v>
      </c>
      <c r="K38" s="1">
        <v>44730</v>
      </c>
      <c r="L38" s="1">
        <v>44743</v>
      </c>
      <c r="M38" s="1">
        <v>44804</v>
      </c>
      <c r="N38" s="1">
        <v>44816</v>
      </c>
      <c r="O38" s="1">
        <v>44840</v>
      </c>
      <c r="P38" s="1">
        <v>44891</v>
      </c>
      <c r="Q38" s="1">
        <v>44787</v>
      </c>
      <c r="R38" s="1">
        <v>44854</v>
      </c>
    </row>
    <row r="39" spans="2:18" hidden="1" x14ac:dyDescent="0.25">
      <c r="B39" t="s">
        <v>36</v>
      </c>
      <c r="C39" t="s">
        <v>37</v>
      </c>
      <c r="D39" t="s">
        <v>38</v>
      </c>
      <c r="E39" t="s">
        <v>21</v>
      </c>
      <c r="F39" t="s">
        <v>39</v>
      </c>
      <c r="G39" t="s">
        <v>42</v>
      </c>
      <c r="H39" t="s">
        <v>25</v>
      </c>
      <c r="J39">
        <v>2</v>
      </c>
      <c r="K39" s="1">
        <v>44756</v>
      </c>
      <c r="L39" s="1">
        <v>44778</v>
      </c>
      <c r="M39" s="1">
        <v>44823</v>
      </c>
      <c r="N39" s="1">
        <v>44839</v>
      </c>
      <c r="O39" s="1">
        <v>44862</v>
      </c>
      <c r="P39" s="1">
        <v>44903</v>
      </c>
      <c r="Q39" s="1">
        <v>44815</v>
      </c>
      <c r="R39" s="1">
        <v>44873</v>
      </c>
    </row>
    <row r="40" spans="2:18" hidden="1" x14ac:dyDescent="0.25">
      <c r="B40" t="s">
        <v>36</v>
      </c>
      <c r="C40" t="s">
        <v>37</v>
      </c>
      <c r="D40" t="s">
        <v>38</v>
      </c>
      <c r="E40" t="s">
        <v>21</v>
      </c>
      <c r="F40" t="s">
        <v>39</v>
      </c>
      <c r="G40" t="s">
        <v>43</v>
      </c>
      <c r="H40" t="s">
        <v>25</v>
      </c>
      <c r="J40">
        <v>1</v>
      </c>
      <c r="K40" s="1">
        <v>44730</v>
      </c>
      <c r="L40" s="1">
        <v>44743</v>
      </c>
      <c r="M40" s="1">
        <v>44804</v>
      </c>
      <c r="N40" s="1">
        <v>44821</v>
      </c>
      <c r="O40" s="1">
        <v>44843</v>
      </c>
      <c r="P40" s="1">
        <v>44892</v>
      </c>
      <c r="Q40" s="1">
        <v>44792</v>
      </c>
      <c r="R40" s="1">
        <v>44858</v>
      </c>
    </row>
    <row r="41" spans="2:18" hidden="1" x14ac:dyDescent="0.25">
      <c r="B41" t="s">
        <v>36</v>
      </c>
      <c r="C41" t="s">
        <v>37</v>
      </c>
      <c r="D41" t="s">
        <v>38</v>
      </c>
      <c r="E41" t="s">
        <v>21</v>
      </c>
      <c r="F41" t="s">
        <v>39</v>
      </c>
      <c r="G41" t="s">
        <v>43</v>
      </c>
      <c r="H41" t="s">
        <v>25</v>
      </c>
      <c r="J41">
        <v>2</v>
      </c>
      <c r="K41" s="1">
        <v>44756</v>
      </c>
      <c r="L41" s="1">
        <v>44778</v>
      </c>
      <c r="M41" s="1">
        <v>44827</v>
      </c>
      <c r="N41" s="1">
        <v>44841</v>
      </c>
      <c r="O41" s="1">
        <v>44861</v>
      </c>
      <c r="P41" s="1">
        <v>44903</v>
      </c>
      <c r="Q41" s="1">
        <v>44817</v>
      </c>
      <c r="R41" s="1">
        <v>44874</v>
      </c>
    </row>
    <row r="42" spans="2:18" hidden="1" x14ac:dyDescent="0.25">
      <c r="B42" t="s">
        <v>44</v>
      </c>
      <c r="C42" t="s">
        <v>45</v>
      </c>
      <c r="D42" t="s">
        <v>46</v>
      </c>
      <c r="E42" t="s">
        <v>21</v>
      </c>
      <c r="F42" t="s">
        <v>31</v>
      </c>
      <c r="G42" t="s">
        <v>47</v>
      </c>
      <c r="H42" t="s">
        <v>25</v>
      </c>
      <c r="J42">
        <v>1</v>
      </c>
      <c r="K42" s="1">
        <v>44704</v>
      </c>
      <c r="L42" s="1">
        <v>44718</v>
      </c>
      <c r="M42" s="1">
        <v>44811</v>
      </c>
      <c r="N42" s="1">
        <v>44834</v>
      </c>
      <c r="O42" s="1">
        <v>44840</v>
      </c>
      <c r="P42" s="1">
        <v>44901</v>
      </c>
      <c r="Q42" s="1" t="e">
        <v>#NUM!</v>
      </c>
      <c r="R42" s="1" t="e">
        <v>#NUM!</v>
      </c>
    </row>
    <row r="43" spans="2:18" hidden="1" x14ac:dyDescent="0.25">
      <c r="B43" t="s">
        <v>44</v>
      </c>
      <c r="C43" t="s">
        <v>45</v>
      </c>
      <c r="D43" t="s">
        <v>46</v>
      </c>
      <c r="E43" t="s">
        <v>21</v>
      </c>
      <c r="F43" t="s">
        <v>31</v>
      </c>
      <c r="G43" t="s">
        <v>47</v>
      </c>
      <c r="H43" t="s">
        <v>25</v>
      </c>
      <c r="J43">
        <v>2</v>
      </c>
      <c r="K43" s="1">
        <v>44740</v>
      </c>
      <c r="L43" s="1">
        <v>44755</v>
      </c>
      <c r="M43" s="1">
        <v>44832</v>
      </c>
      <c r="N43" s="1">
        <v>44845</v>
      </c>
      <c r="O43" s="1">
        <v>44854</v>
      </c>
      <c r="P43" s="1">
        <v>44901</v>
      </c>
      <c r="Q43" s="1" t="e">
        <v>#NUM!</v>
      </c>
      <c r="R43" s="1" t="e">
        <v>#NUM!</v>
      </c>
    </row>
    <row r="44" spans="2:18" hidden="1" x14ac:dyDescent="0.25">
      <c r="B44" t="s">
        <v>44</v>
      </c>
      <c r="C44" t="s">
        <v>45</v>
      </c>
      <c r="D44" t="s">
        <v>46</v>
      </c>
      <c r="E44" t="s">
        <v>21</v>
      </c>
      <c r="F44" t="s">
        <v>31</v>
      </c>
      <c r="G44" t="s">
        <v>48</v>
      </c>
      <c r="H44" t="s">
        <v>25</v>
      </c>
      <c r="J44">
        <v>1</v>
      </c>
      <c r="K44" s="1">
        <v>44704</v>
      </c>
      <c r="L44" s="1">
        <v>44718</v>
      </c>
      <c r="M44" s="1">
        <v>44811</v>
      </c>
      <c r="N44" s="1">
        <v>44833</v>
      </c>
      <c r="O44" s="1">
        <v>44850</v>
      </c>
      <c r="P44" s="1">
        <v>44901</v>
      </c>
      <c r="Q44" s="1" t="e">
        <v>#NUM!</v>
      </c>
      <c r="R44" s="1" t="e">
        <v>#NUM!</v>
      </c>
    </row>
    <row r="45" spans="2:18" hidden="1" x14ac:dyDescent="0.25">
      <c r="B45" t="s">
        <v>44</v>
      </c>
      <c r="C45" t="s">
        <v>45</v>
      </c>
      <c r="D45" t="s">
        <v>46</v>
      </c>
      <c r="E45" t="s">
        <v>21</v>
      </c>
      <c r="F45" t="s">
        <v>31</v>
      </c>
      <c r="G45" t="s">
        <v>48</v>
      </c>
      <c r="H45" t="s">
        <v>25</v>
      </c>
      <c r="J45">
        <v>2</v>
      </c>
      <c r="K45" s="1">
        <v>44740</v>
      </c>
      <c r="L45" s="1">
        <v>44755</v>
      </c>
      <c r="M45" s="1">
        <v>44832</v>
      </c>
      <c r="N45" s="1">
        <v>44845</v>
      </c>
      <c r="O45" s="1">
        <v>44858</v>
      </c>
      <c r="P45" s="1">
        <v>44901</v>
      </c>
      <c r="Q45" s="1" t="e">
        <v>#NUM!</v>
      </c>
      <c r="R45" s="1" t="e">
        <v>#NUM!</v>
      </c>
    </row>
    <row r="46" spans="2:18" hidden="1" x14ac:dyDescent="0.25">
      <c r="B46" t="s">
        <v>44</v>
      </c>
      <c r="C46" t="s">
        <v>45</v>
      </c>
      <c r="D46" t="s">
        <v>46</v>
      </c>
      <c r="E46" t="s">
        <v>21</v>
      </c>
      <c r="F46" t="s">
        <v>31</v>
      </c>
      <c r="G46" t="s">
        <v>49</v>
      </c>
      <c r="H46" t="s">
        <v>25</v>
      </c>
      <c r="J46">
        <v>1</v>
      </c>
      <c r="K46" s="1">
        <v>44704</v>
      </c>
      <c r="L46" s="1">
        <v>44718</v>
      </c>
      <c r="M46" s="1">
        <v>44811</v>
      </c>
      <c r="N46" s="1">
        <v>44835</v>
      </c>
      <c r="O46" s="1">
        <v>44847</v>
      </c>
      <c r="P46" s="1">
        <v>44901</v>
      </c>
      <c r="Q46" s="1" t="e">
        <v>#NUM!</v>
      </c>
      <c r="R46" s="1" t="e">
        <v>#NUM!</v>
      </c>
    </row>
    <row r="47" spans="2:18" hidden="1" x14ac:dyDescent="0.25">
      <c r="B47" t="s">
        <v>44</v>
      </c>
      <c r="C47" t="s">
        <v>45</v>
      </c>
      <c r="D47" t="s">
        <v>46</v>
      </c>
      <c r="E47" t="s">
        <v>21</v>
      </c>
      <c r="F47" t="s">
        <v>31</v>
      </c>
      <c r="G47" t="s">
        <v>49</v>
      </c>
      <c r="H47" t="s">
        <v>25</v>
      </c>
      <c r="J47">
        <v>2</v>
      </c>
      <c r="K47" s="1">
        <v>44740</v>
      </c>
      <c r="L47" s="1">
        <v>44755</v>
      </c>
      <c r="M47" s="1">
        <v>44832</v>
      </c>
      <c r="N47" s="1">
        <v>44845</v>
      </c>
      <c r="O47" s="1">
        <v>44859</v>
      </c>
      <c r="P47" s="1">
        <v>44901</v>
      </c>
      <c r="Q47" s="1" t="e">
        <v>#NUM!</v>
      </c>
      <c r="R47" s="1" t="e">
        <v>#NUM!</v>
      </c>
    </row>
    <row r="48" spans="2:18" hidden="1" x14ac:dyDescent="0.25">
      <c r="B48" t="s">
        <v>44</v>
      </c>
      <c r="C48" t="s">
        <v>45</v>
      </c>
      <c r="D48" t="s">
        <v>46</v>
      </c>
      <c r="E48" t="s">
        <v>21</v>
      </c>
      <c r="F48" t="s">
        <v>31</v>
      </c>
      <c r="G48" t="s">
        <v>50</v>
      </c>
      <c r="H48" t="s">
        <v>25</v>
      </c>
      <c r="J48">
        <v>1</v>
      </c>
      <c r="K48" s="1">
        <v>44704</v>
      </c>
      <c r="L48" s="1">
        <v>44718</v>
      </c>
      <c r="M48" s="1">
        <v>44811</v>
      </c>
      <c r="N48" s="1">
        <v>44827</v>
      </c>
      <c r="O48" s="1">
        <v>44841</v>
      </c>
      <c r="P48" s="1">
        <v>44901</v>
      </c>
      <c r="Q48" s="1" t="e">
        <v>#NUM!</v>
      </c>
      <c r="R48" s="1" t="e">
        <v>#NUM!</v>
      </c>
    </row>
    <row r="49" spans="2:19" hidden="1" x14ac:dyDescent="0.25">
      <c r="B49" t="s">
        <v>44</v>
      </c>
      <c r="C49" t="s">
        <v>45</v>
      </c>
      <c r="D49" t="s">
        <v>46</v>
      </c>
      <c r="E49" t="s">
        <v>21</v>
      </c>
      <c r="F49" t="s">
        <v>31</v>
      </c>
      <c r="G49" t="s">
        <v>50</v>
      </c>
      <c r="H49" t="s">
        <v>25</v>
      </c>
      <c r="J49">
        <v>2</v>
      </c>
      <c r="K49" s="1">
        <v>44740</v>
      </c>
      <c r="L49" s="1">
        <v>44755</v>
      </c>
      <c r="M49" s="1">
        <v>44832</v>
      </c>
      <c r="N49" s="1">
        <v>44845</v>
      </c>
      <c r="O49" s="1">
        <v>44856</v>
      </c>
      <c r="P49" s="1">
        <v>44901</v>
      </c>
      <c r="Q49" s="1" t="e">
        <v>#NUM!</v>
      </c>
      <c r="R49" s="1" t="e">
        <v>#NUM!</v>
      </c>
    </row>
    <row r="50" spans="2:19" hidden="1" x14ac:dyDescent="0.25">
      <c r="B50" t="s">
        <v>51</v>
      </c>
      <c r="C50" t="s">
        <v>52</v>
      </c>
      <c r="D50" t="s">
        <v>46</v>
      </c>
      <c r="E50" t="s">
        <v>21</v>
      </c>
      <c r="F50" t="s">
        <v>39</v>
      </c>
      <c r="G50" t="s">
        <v>47</v>
      </c>
      <c r="H50" t="s">
        <v>25</v>
      </c>
      <c r="J50">
        <v>1</v>
      </c>
      <c r="K50" s="1">
        <v>44730</v>
      </c>
      <c r="L50" s="1">
        <v>44741</v>
      </c>
      <c r="M50" s="1">
        <v>44800</v>
      </c>
      <c r="N50" s="1">
        <v>44835</v>
      </c>
      <c r="O50" s="1">
        <v>44842</v>
      </c>
      <c r="P50" s="1">
        <v>44908</v>
      </c>
      <c r="Q50" s="1">
        <v>44810</v>
      </c>
      <c r="R50" s="1">
        <v>44870</v>
      </c>
      <c r="S50" t="s">
        <v>53</v>
      </c>
    </row>
    <row r="51" spans="2:19" hidden="1" x14ac:dyDescent="0.25">
      <c r="B51" t="s">
        <v>51</v>
      </c>
      <c r="C51" t="s">
        <v>52</v>
      </c>
      <c r="D51" t="s">
        <v>46</v>
      </c>
      <c r="E51" t="s">
        <v>21</v>
      </c>
      <c r="F51" t="s">
        <v>39</v>
      </c>
      <c r="G51" t="s">
        <v>47</v>
      </c>
      <c r="H51" t="s">
        <v>25</v>
      </c>
      <c r="J51">
        <v>2</v>
      </c>
      <c r="K51" s="1">
        <v>44756</v>
      </c>
      <c r="L51" s="1">
        <v>44768</v>
      </c>
      <c r="M51" s="1">
        <v>44833</v>
      </c>
      <c r="N51" s="1">
        <v>44849</v>
      </c>
      <c r="O51" s="1">
        <v>44854</v>
      </c>
      <c r="P51" s="1">
        <v>44908</v>
      </c>
      <c r="Q51" s="1">
        <v>44826</v>
      </c>
      <c r="R51" s="1">
        <v>44881</v>
      </c>
      <c r="S51" t="s">
        <v>53</v>
      </c>
    </row>
    <row r="52" spans="2:19" hidden="1" x14ac:dyDescent="0.25">
      <c r="B52" t="s">
        <v>51</v>
      </c>
      <c r="C52" t="s">
        <v>52</v>
      </c>
      <c r="D52" t="s">
        <v>46</v>
      </c>
      <c r="E52" t="s">
        <v>21</v>
      </c>
      <c r="F52" t="s">
        <v>39</v>
      </c>
      <c r="G52" t="s">
        <v>48</v>
      </c>
      <c r="H52" t="s">
        <v>25</v>
      </c>
      <c r="J52">
        <v>1</v>
      </c>
      <c r="K52" s="1">
        <v>44730</v>
      </c>
      <c r="L52" s="1">
        <v>44741</v>
      </c>
      <c r="M52" s="1">
        <v>44816</v>
      </c>
      <c r="N52" s="1">
        <v>44835</v>
      </c>
      <c r="O52" s="1">
        <v>44844</v>
      </c>
      <c r="P52" s="1">
        <v>44908</v>
      </c>
      <c r="Q52" s="1">
        <v>44809</v>
      </c>
      <c r="R52" s="1">
        <v>44870</v>
      </c>
      <c r="S52" t="s">
        <v>53</v>
      </c>
    </row>
    <row r="53" spans="2:19" hidden="1" x14ac:dyDescent="0.25">
      <c r="B53" t="s">
        <v>51</v>
      </c>
      <c r="C53" t="s">
        <v>52</v>
      </c>
      <c r="D53" t="s">
        <v>46</v>
      </c>
      <c r="E53" t="s">
        <v>21</v>
      </c>
      <c r="F53" t="s">
        <v>39</v>
      </c>
      <c r="G53" t="s">
        <v>48</v>
      </c>
      <c r="H53" t="s">
        <v>25</v>
      </c>
      <c r="J53">
        <v>2</v>
      </c>
      <c r="K53" s="1">
        <v>44756</v>
      </c>
      <c r="L53" s="1">
        <v>44768</v>
      </c>
      <c r="M53" s="1">
        <v>44833</v>
      </c>
      <c r="N53" s="1">
        <v>44849</v>
      </c>
      <c r="O53" s="1">
        <v>44859</v>
      </c>
      <c r="P53" s="1">
        <v>44908</v>
      </c>
      <c r="Q53" s="1">
        <v>44826</v>
      </c>
      <c r="R53" s="1">
        <v>44881</v>
      </c>
      <c r="S53" t="s">
        <v>53</v>
      </c>
    </row>
    <row r="54" spans="2:19" hidden="1" x14ac:dyDescent="0.25">
      <c r="B54" t="s">
        <v>51</v>
      </c>
      <c r="C54" t="s">
        <v>52</v>
      </c>
      <c r="D54" t="s">
        <v>46</v>
      </c>
      <c r="E54" t="s">
        <v>21</v>
      </c>
      <c r="F54" t="s">
        <v>39</v>
      </c>
      <c r="G54" t="s">
        <v>49</v>
      </c>
      <c r="H54" t="s">
        <v>25</v>
      </c>
      <c r="J54">
        <v>1</v>
      </c>
      <c r="K54" s="1">
        <v>44730</v>
      </c>
      <c r="L54" s="1">
        <v>44741</v>
      </c>
      <c r="M54" s="1">
        <v>44794</v>
      </c>
      <c r="N54" s="1">
        <v>44836</v>
      </c>
      <c r="O54" s="1">
        <v>44851</v>
      </c>
      <c r="P54" s="1">
        <v>44908</v>
      </c>
      <c r="Q54" s="1">
        <v>44810</v>
      </c>
      <c r="R54" s="1">
        <v>44871</v>
      </c>
      <c r="S54" t="s">
        <v>53</v>
      </c>
    </row>
    <row r="55" spans="2:19" hidden="1" x14ac:dyDescent="0.25">
      <c r="B55" t="s">
        <v>51</v>
      </c>
      <c r="C55" t="s">
        <v>52</v>
      </c>
      <c r="D55" t="s">
        <v>46</v>
      </c>
      <c r="E55" t="s">
        <v>21</v>
      </c>
      <c r="F55" t="s">
        <v>39</v>
      </c>
      <c r="G55" t="s">
        <v>49</v>
      </c>
      <c r="H55" t="s">
        <v>25</v>
      </c>
      <c r="J55">
        <v>2</v>
      </c>
      <c r="K55" s="1">
        <v>44756</v>
      </c>
      <c r="L55" s="1">
        <v>44768</v>
      </c>
      <c r="M55" s="1">
        <v>44833</v>
      </c>
      <c r="N55" s="1">
        <v>44849</v>
      </c>
      <c r="O55" s="1">
        <v>44862</v>
      </c>
      <c r="P55" s="1">
        <v>44908</v>
      </c>
      <c r="Q55" s="1">
        <v>44826</v>
      </c>
      <c r="R55" s="1">
        <v>44881</v>
      </c>
      <c r="S55" t="s">
        <v>53</v>
      </c>
    </row>
    <row r="56" spans="2:19" hidden="1" x14ac:dyDescent="0.25">
      <c r="B56" t="s">
        <v>51</v>
      </c>
      <c r="C56" t="s">
        <v>52</v>
      </c>
      <c r="D56" t="s">
        <v>46</v>
      </c>
      <c r="E56" t="s">
        <v>21</v>
      </c>
      <c r="F56" t="s">
        <v>39</v>
      </c>
      <c r="G56" t="s">
        <v>50</v>
      </c>
      <c r="H56" t="s">
        <v>25</v>
      </c>
      <c r="J56">
        <v>1</v>
      </c>
      <c r="K56" s="1">
        <v>44730</v>
      </c>
      <c r="L56" s="1">
        <v>44741</v>
      </c>
      <c r="M56" s="1">
        <v>44816</v>
      </c>
      <c r="N56" s="1">
        <v>44835</v>
      </c>
      <c r="O56" s="1">
        <v>44847</v>
      </c>
      <c r="P56" s="1">
        <v>44908</v>
      </c>
      <c r="Q56" s="1">
        <v>44809</v>
      </c>
      <c r="R56" s="1">
        <v>44870</v>
      </c>
      <c r="S56" t="s">
        <v>53</v>
      </c>
    </row>
    <row r="57" spans="2:19" hidden="1" x14ac:dyDescent="0.25">
      <c r="B57" t="s">
        <v>51</v>
      </c>
      <c r="C57" t="s">
        <v>52</v>
      </c>
      <c r="D57" t="s">
        <v>46</v>
      </c>
      <c r="E57" t="s">
        <v>21</v>
      </c>
      <c r="F57" t="s">
        <v>39</v>
      </c>
      <c r="G57" t="s">
        <v>50</v>
      </c>
      <c r="H57" t="s">
        <v>25</v>
      </c>
      <c r="J57">
        <v>2</v>
      </c>
      <c r="K57" s="1">
        <v>44756</v>
      </c>
      <c r="L57" s="1">
        <v>44768</v>
      </c>
      <c r="M57" s="1">
        <v>44833</v>
      </c>
      <c r="N57" s="1">
        <v>44847</v>
      </c>
      <c r="O57" s="1">
        <v>44856</v>
      </c>
      <c r="P57" s="1">
        <v>44908</v>
      </c>
      <c r="Q57" s="1">
        <v>44824</v>
      </c>
      <c r="R57" s="1">
        <v>44879</v>
      </c>
      <c r="S57" t="s">
        <v>53</v>
      </c>
    </row>
    <row r="58" spans="2:19" hidden="1" x14ac:dyDescent="0.25">
      <c r="B58" t="s">
        <v>54</v>
      </c>
      <c r="C58" t="s">
        <v>55</v>
      </c>
      <c r="D58" t="s">
        <v>46</v>
      </c>
      <c r="E58" t="s">
        <v>21</v>
      </c>
      <c r="F58" t="s">
        <v>35</v>
      </c>
      <c r="G58" t="s">
        <v>47</v>
      </c>
      <c r="H58" t="s">
        <v>25</v>
      </c>
      <c r="J58">
        <v>1</v>
      </c>
      <c r="K58" s="1">
        <v>44692</v>
      </c>
      <c r="L58" s="1">
        <v>44699</v>
      </c>
      <c r="M58" s="1">
        <v>44792</v>
      </c>
      <c r="N58" s="1">
        <v>44816</v>
      </c>
      <c r="O58" s="1">
        <v>44834</v>
      </c>
      <c r="P58" s="1">
        <v>44901</v>
      </c>
      <c r="Q58" s="1">
        <v>44787</v>
      </c>
      <c r="R58" s="1">
        <v>44854</v>
      </c>
    </row>
    <row r="59" spans="2:19" hidden="1" x14ac:dyDescent="0.25">
      <c r="B59" t="s">
        <v>54</v>
      </c>
      <c r="C59" t="s">
        <v>55</v>
      </c>
      <c r="D59" t="s">
        <v>46</v>
      </c>
      <c r="E59" t="s">
        <v>21</v>
      </c>
      <c r="F59" t="s">
        <v>35</v>
      </c>
      <c r="G59" t="s">
        <v>47</v>
      </c>
      <c r="H59" t="s">
        <v>25</v>
      </c>
      <c r="J59">
        <v>2</v>
      </c>
      <c r="K59" s="1">
        <v>44727</v>
      </c>
      <c r="L59" s="1">
        <v>44741</v>
      </c>
      <c r="M59" s="1">
        <v>44816</v>
      </c>
      <c r="N59" s="1">
        <v>44830</v>
      </c>
      <c r="O59" s="1">
        <v>44842</v>
      </c>
      <c r="P59" s="1">
        <v>44914</v>
      </c>
      <c r="Q59" s="1">
        <v>44804</v>
      </c>
      <c r="R59" s="1">
        <v>44864</v>
      </c>
    </row>
    <row r="60" spans="2:19" hidden="1" x14ac:dyDescent="0.25">
      <c r="B60" t="s">
        <v>54</v>
      </c>
      <c r="C60" t="s">
        <v>55</v>
      </c>
      <c r="D60" t="s">
        <v>46</v>
      </c>
      <c r="E60" t="s">
        <v>21</v>
      </c>
      <c r="F60" t="s">
        <v>35</v>
      </c>
      <c r="G60" t="s">
        <v>48</v>
      </c>
      <c r="H60" t="s">
        <v>25</v>
      </c>
      <c r="J60">
        <v>1</v>
      </c>
      <c r="K60" s="1">
        <v>44692</v>
      </c>
      <c r="L60" s="1">
        <v>44699</v>
      </c>
      <c r="M60" s="1">
        <v>44790</v>
      </c>
      <c r="N60" s="1">
        <v>44819</v>
      </c>
      <c r="O60" s="1">
        <v>44835</v>
      </c>
      <c r="P60" s="1">
        <v>44904</v>
      </c>
      <c r="Q60" s="1">
        <v>44791</v>
      </c>
      <c r="R60" s="1">
        <v>44856</v>
      </c>
    </row>
    <row r="61" spans="2:19" hidden="1" x14ac:dyDescent="0.25">
      <c r="B61" t="s">
        <v>54</v>
      </c>
      <c r="C61" t="s">
        <v>55</v>
      </c>
      <c r="D61" t="s">
        <v>46</v>
      </c>
      <c r="E61" t="s">
        <v>21</v>
      </c>
      <c r="F61" t="s">
        <v>35</v>
      </c>
      <c r="G61" t="s">
        <v>48</v>
      </c>
      <c r="H61" t="s">
        <v>25</v>
      </c>
      <c r="J61">
        <v>2</v>
      </c>
      <c r="K61" s="1">
        <v>44727</v>
      </c>
      <c r="L61" s="1">
        <v>44741</v>
      </c>
      <c r="M61" s="1">
        <v>44816</v>
      </c>
      <c r="N61" s="1">
        <v>44830</v>
      </c>
      <c r="O61" s="1">
        <v>44847</v>
      </c>
      <c r="P61" s="1">
        <v>44914</v>
      </c>
      <c r="Q61" s="1">
        <v>44804</v>
      </c>
      <c r="R61" s="1">
        <v>44864</v>
      </c>
    </row>
    <row r="62" spans="2:19" hidden="1" x14ac:dyDescent="0.25">
      <c r="B62" t="s">
        <v>54</v>
      </c>
      <c r="C62" t="s">
        <v>55</v>
      </c>
      <c r="D62" t="s">
        <v>46</v>
      </c>
      <c r="E62" t="s">
        <v>21</v>
      </c>
      <c r="F62" t="s">
        <v>35</v>
      </c>
      <c r="G62" t="s">
        <v>49</v>
      </c>
      <c r="H62" t="s">
        <v>25</v>
      </c>
      <c r="J62">
        <v>1</v>
      </c>
      <c r="K62" s="1">
        <v>44692</v>
      </c>
      <c r="L62" s="1">
        <v>44699</v>
      </c>
      <c r="M62" s="1">
        <v>44788</v>
      </c>
      <c r="N62" s="1">
        <v>44821</v>
      </c>
      <c r="O62" s="1">
        <v>44838</v>
      </c>
      <c r="P62" s="1">
        <v>44904</v>
      </c>
      <c r="Q62" s="1">
        <v>44793</v>
      </c>
      <c r="R62" s="1">
        <v>44857</v>
      </c>
    </row>
    <row r="63" spans="2:19" hidden="1" x14ac:dyDescent="0.25">
      <c r="B63" t="s">
        <v>54</v>
      </c>
      <c r="C63" t="s">
        <v>55</v>
      </c>
      <c r="D63" t="s">
        <v>46</v>
      </c>
      <c r="E63" t="s">
        <v>21</v>
      </c>
      <c r="F63" t="s">
        <v>35</v>
      </c>
      <c r="G63" t="s">
        <v>49</v>
      </c>
      <c r="H63" t="s">
        <v>25</v>
      </c>
      <c r="J63">
        <v>2</v>
      </c>
      <c r="K63" s="1">
        <v>44727</v>
      </c>
      <c r="L63" s="1">
        <v>44741</v>
      </c>
      <c r="M63" s="1">
        <v>44816</v>
      </c>
      <c r="N63" s="1">
        <v>44831</v>
      </c>
      <c r="O63" s="1">
        <v>44846</v>
      </c>
      <c r="P63" s="1">
        <v>44914</v>
      </c>
      <c r="Q63" s="1">
        <v>44805</v>
      </c>
      <c r="R63" s="1">
        <v>44864</v>
      </c>
    </row>
    <row r="64" spans="2:19" hidden="1" x14ac:dyDescent="0.25">
      <c r="B64" t="s">
        <v>54</v>
      </c>
      <c r="C64" t="s">
        <v>55</v>
      </c>
      <c r="D64" t="s">
        <v>46</v>
      </c>
      <c r="E64" t="s">
        <v>21</v>
      </c>
      <c r="F64" t="s">
        <v>35</v>
      </c>
      <c r="G64" t="s">
        <v>50</v>
      </c>
      <c r="H64" t="s">
        <v>25</v>
      </c>
      <c r="J64">
        <v>1</v>
      </c>
      <c r="K64" s="1">
        <v>44692</v>
      </c>
      <c r="L64" s="1">
        <v>44699</v>
      </c>
      <c r="M64" s="1">
        <v>44793</v>
      </c>
      <c r="N64" s="1">
        <v>44810</v>
      </c>
      <c r="O64" s="1">
        <v>44830</v>
      </c>
      <c r="P64" s="1">
        <v>44904</v>
      </c>
      <c r="Q64" s="1">
        <v>44780</v>
      </c>
      <c r="R64" s="1">
        <v>44849</v>
      </c>
    </row>
    <row r="65" spans="1:24" hidden="1" x14ac:dyDescent="0.25">
      <c r="B65" t="s">
        <v>54</v>
      </c>
      <c r="C65" t="s">
        <v>55</v>
      </c>
      <c r="D65" t="s">
        <v>46</v>
      </c>
      <c r="E65" t="s">
        <v>21</v>
      </c>
      <c r="F65" t="s">
        <v>35</v>
      </c>
      <c r="G65" t="s">
        <v>50</v>
      </c>
      <c r="H65" t="s">
        <v>25</v>
      </c>
      <c r="J65">
        <v>2</v>
      </c>
      <c r="K65" s="1">
        <v>44727</v>
      </c>
      <c r="L65" s="1">
        <v>44741</v>
      </c>
      <c r="M65" s="1">
        <v>44816</v>
      </c>
      <c r="N65" s="1">
        <v>44830</v>
      </c>
      <c r="O65" s="1">
        <v>44843</v>
      </c>
      <c r="P65" s="1">
        <v>44914</v>
      </c>
      <c r="Q65" s="1">
        <v>44804</v>
      </c>
      <c r="R65" s="1">
        <v>44864</v>
      </c>
    </row>
    <row r="66" spans="1:24" hidden="1" x14ac:dyDescent="0.25">
      <c r="B66" t="s">
        <v>66</v>
      </c>
      <c r="C66" t="s">
        <v>67</v>
      </c>
      <c r="D66" t="s">
        <v>20</v>
      </c>
      <c r="E66" t="s">
        <v>58</v>
      </c>
      <c r="F66" t="s">
        <v>68</v>
      </c>
      <c r="G66" t="s">
        <v>23</v>
      </c>
      <c r="H66" t="s">
        <v>25</v>
      </c>
      <c r="J66">
        <v>1</v>
      </c>
      <c r="K66" s="1">
        <v>44677</v>
      </c>
      <c r="L66" s="1">
        <v>44692</v>
      </c>
      <c r="M66" s="1">
        <v>44785</v>
      </c>
      <c r="N66" s="1">
        <v>44811</v>
      </c>
      <c r="O66" s="1">
        <v>44875</v>
      </c>
      <c r="P66" s="1">
        <v>44912</v>
      </c>
      <c r="Q66" s="1">
        <v>44752</v>
      </c>
      <c r="R66" s="1">
        <v>44865</v>
      </c>
    </row>
    <row r="67" spans="1:24" hidden="1" x14ac:dyDescent="0.25">
      <c r="B67" t="s">
        <v>66</v>
      </c>
      <c r="C67" t="s">
        <v>67</v>
      </c>
      <c r="D67" t="s">
        <v>20</v>
      </c>
      <c r="E67" t="s">
        <v>58</v>
      </c>
      <c r="F67" t="s">
        <v>68</v>
      </c>
      <c r="G67" t="s">
        <v>26</v>
      </c>
      <c r="H67" t="s">
        <v>25</v>
      </c>
      <c r="J67">
        <v>1</v>
      </c>
      <c r="K67" s="1">
        <v>44677</v>
      </c>
      <c r="L67" s="1">
        <v>44692</v>
      </c>
      <c r="M67" s="1">
        <v>44788</v>
      </c>
      <c r="N67" s="1">
        <v>44876</v>
      </c>
      <c r="O67" s="1">
        <v>44880</v>
      </c>
      <c r="P67" s="1">
        <v>44911</v>
      </c>
      <c r="Q67" s="1">
        <v>44851</v>
      </c>
      <c r="R67" s="1">
        <v>44918</v>
      </c>
    </row>
    <row r="68" spans="1:24" hidden="1" x14ac:dyDescent="0.25">
      <c r="B68" t="s">
        <v>66</v>
      </c>
      <c r="C68" t="s">
        <v>67</v>
      </c>
      <c r="D68" t="s">
        <v>20</v>
      </c>
      <c r="E68" t="s">
        <v>58</v>
      </c>
      <c r="F68" t="s">
        <v>68</v>
      </c>
      <c r="G68" t="s">
        <v>27</v>
      </c>
      <c r="H68" t="s">
        <v>25</v>
      </c>
      <c r="J68">
        <v>1</v>
      </c>
      <c r="K68" s="1">
        <v>44677</v>
      </c>
      <c r="L68" s="1">
        <v>44692</v>
      </c>
      <c r="M68" s="1">
        <v>44791</v>
      </c>
      <c r="N68" s="1">
        <v>44876</v>
      </c>
      <c r="O68" s="1">
        <v>44880</v>
      </c>
      <c r="P68" s="1">
        <v>44913</v>
      </c>
      <c r="Q68" s="1">
        <v>44851</v>
      </c>
      <c r="R68" s="1">
        <v>44918</v>
      </c>
    </row>
    <row r="69" spans="1:24" hidden="1" x14ac:dyDescent="0.25">
      <c r="B69" t="s">
        <v>66</v>
      </c>
      <c r="C69" t="s">
        <v>67</v>
      </c>
      <c r="D69" t="s">
        <v>20</v>
      </c>
      <c r="E69" t="s">
        <v>58</v>
      </c>
      <c r="F69" t="s">
        <v>68</v>
      </c>
      <c r="G69" t="s">
        <v>28</v>
      </c>
      <c r="H69" t="s">
        <v>25</v>
      </c>
      <c r="J69">
        <v>1</v>
      </c>
      <c r="K69" s="1">
        <v>44677</v>
      </c>
      <c r="L69" s="1">
        <v>44692</v>
      </c>
      <c r="M69" s="1">
        <v>44776</v>
      </c>
      <c r="N69" s="1">
        <v>44876</v>
      </c>
      <c r="O69" s="1">
        <v>44880</v>
      </c>
      <c r="P69" s="1">
        <v>44918</v>
      </c>
      <c r="Q69" s="1">
        <v>44851</v>
      </c>
      <c r="R69" s="1">
        <v>44918</v>
      </c>
    </row>
    <row r="70" spans="1:24" hidden="1" x14ac:dyDescent="0.25">
      <c r="B70" t="s">
        <v>66</v>
      </c>
      <c r="C70" t="s">
        <v>67</v>
      </c>
      <c r="D70" t="s">
        <v>20</v>
      </c>
      <c r="E70" t="s">
        <v>58</v>
      </c>
      <c r="F70" t="s">
        <v>68</v>
      </c>
      <c r="G70" t="s">
        <v>23</v>
      </c>
      <c r="H70" t="s">
        <v>25</v>
      </c>
      <c r="J70">
        <v>2</v>
      </c>
      <c r="K70" s="1">
        <v>44708</v>
      </c>
      <c r="L70" s="1">
        <v>44739</v>
      </c>
      <c r="M70" s="1"/>
      <c r="N70" s="1"/>
      <c r="O70" s="1">
        <v>44876</v>
      </c>
      <c r="P70" s="1">
        <v>44915</v>
      </c>
      <c r="Q70" s="1" t="e">
        <v>#NUM!</v>
      </c>
      <c r="R70" s="1" t="e">
        <v>#NUM!</v>
      </c>
      <c r="S70" t="s">
        <v>69</v>
      </c>
    </row>
    <row r="71" spans="1:24" hidden="1" x14ac:dyDescent="0.25">
      <c r="B71" t="s">
        <v>66</v>
      </c>
      <c r="C71" t="s">
        <v>67</v>
      </c>
      <c r="D71" t="s">
        <v>20</v>
      </c>
      <c r="E71" t="s">
        <v>58</v>
      </c>
      <c r="F71" t="s">
        <v>68</v>
      </c>
      <c r="G71" t="s">
        <v>26</v>
      </c>
      <c r="H71" t="s">
        <v>25</v>
      </c>
      <c r="J71">
        <v>2</v>
      </c>
      <c r="K71" s="1">
        <v>44708</v>
      </c>
      <c r="L71" s="1">
        <v>44739</v>
      </c>
      <c r="M71" s="1"/>
      <c r="N71" s="1">
        <v>44876</v>
      </c>
      <c r="O71" s="1">
        <v>44880</v>
      </c>
      <c r="P71" s="1">
        <v>44918</v>
      </c>
      <c r="Q71" s="1">
        <v>44851</v>
      </c>
      <c r="R71" s="1">
        <v>44918</v>
      </c>
      <c r="S71" t="s">
        <v>69</v>
      </c>
    </row>
    <row r="72" spans="1:24" hidden="1" x14ac:dyDescent="0.25">
      <c r="B72" t="s">
        <v>66</v>
      </c>
      <c r="C72" t="s">
        <v>67</v>
      </c>
      <c r="D72" t="s">
        <v>20</v>
      </c>
      <c r="E72" t="s">
        <v>58</v>
      </c>
      <c r="F72" t="s">
        <v>68</v>
      </c>
      <c r="G72" t="s">
        <v>27</v>
      </c>
      <c r="H72" t="s">
        <v>25</v>
      </c>
      <c r="J72">
        <v>2</v>
      </c>
      <c r="K72" s="1">
        <v>44708</v>
      </c>
      <c r="L72" s="1">
        <v>44739</v>
      </c>
      <c r="M72" s="1"/>
      <c r="N72" s="1">
        <v>44876</v>
      </c>
      <c r="O72" s="1">
        <v>44888</v>
      </c>
      <c r="P72" s="1">
        <v>44916</v>
      </c>
      <c r="Q72" s="1">
        <v>44851</v>
      </c>
      <c r="R72" s="1">
        <v>44918</v>
      </c>
      <c r="S72" t="s">
        <v>69</v>
      </c>
    </row>
    <row r="73" spans="1:24" hidden="1" x14ac:dyDescent="0.25">
      <c r="B73" t="s">
        <v>66</v>
      </c>
      <c r="C73" t="s">
        <v>67</v>
      </c>
      <c r="D73" t="s">
        <v>20</v>
      </c>
      <c r="E73" t="s">
        <v>58</v>
      </c>
      <c r="F73" t="s">
        <v>68</v>
      </c>
      <c r="G73" t="s">
        <v>28</v>
      </c>
      <c r="H73" t="s">
        <v>25</v>
      </c>
      <c r="J73">
        <v>2</v>
      </c>
      <c r="K73" s="1">
        <v>44708</v>
      </c>
      <c r="L73" s="1">
        <v>44739</v>
      </c>
      <c r="M73" s="1">
        <v>44807</v>
      </c>
      <c r="N73" s="1">
        <v>44876</v>
      </c>
      <c r="O73" s="1">
        <v>44880</v>
      </c>
      <c r="P73" s="1">
        <v>44918</v>
      </c>
      <c r="Q73" s="1">
        <v>44851</v>
      </c>
      <c r="R73" s="1">
        <v>44918</v>
      </c>
      <c r="S73" t="s">
        <v>69</v>
      </c>
    </row>
    <row r="74" spans="1:24" x14ac:dyDescent="0.25">
      <c r="A74" t="str">
        <f>C74&amp;"TOSTOS"&amp;J74&amp;"Variety"&amp;G74&amp;"WaterTrt"&amp;H74&amp;IF(I74="","","Agronomy"&amp;I74)</f>
        <v>2022_NSW_Methul_Lentil_SatelliteTOSTOS1VarietyAceWaterTrtRainFed</v>
      </c>
      <c r="B74" t="s">
        <v>87</v>
      </c>
      <c r="C74" t="s">
        <v>88</v>
      </c>
      <c r="D74" t="s">
        <v>46</v>
      </c>
      <c r="E74" t="s">
        <v>58</v>
      </c>
      <c r="F74" t="s">
        <v>89</v>
      </c>
      <c r="G74" t="s">
        <v>164</v>
      </c>
      <c r="H74" t="s">
        <v>25</v>
      </c>
      <c r="J74">
        <v>1</v>
      </c>
      <c r="K74" s="1">
        <v>44691</v>
      </c>
      <c r="L74" s="1">
        <v>44699</v>
      </c>
      <c r="M74" s="1">
        <v>44801</v>
      </c>
      <c r="N74" s="1">
        <v>44830</v>
      </c>
      <c r="O74" s="1">
        <v>44841</v>
      </c>
      <c r="P74" s="1">
        <v>44893</v>
      </c>
      <c r="Q74" s="1">
        <v>44805</v>
      </c>
      <c r="R74" s="1">
        <v>44863</v>
      </c>
      <c r="T74">
        <f>L74-$K74</f>
        <v>8</v>
      </c>
      <c r="U74">
        <f t="shared" ref="U74:Y74" si="0">M74-$K74</f>
        <v>110</v>
      </c>
      <c r="V74">
        <f t="shared" si="0"/>
        <v>139</v>
      </c>
      <c r="W74">
        <f t="shared" si="0"/>
        <v>150</v>
      </c>
      <c r="X74">
        <f t="shared" si="0"/>
        <v>202</v>
      </c>
    </row>
    <row r="75" spans="1:24" x14ac:dyDescent="0.25">
      <c r="A75" t="str">
        <f t="shared" ref="A75:A85" si="1">C75&amp;"TOSTOS"&amp;J75&amp;"Variety"&amp;G75&amp;"WaterTrt"&amp;H75&amp;IF(I75="","","Agronomy"&amp;I75)</f>
        <v>2022_NSW_Methul_Lentil_SatelliteTOSTOS1VarietyBoltWaterTrtRainFed</v>
      </c>
      <c r="B75" t="s">
        <v>87</v>
      </c>
      <c r="C75" t="s">
        <v>88</v>
      </c>
      <c r="D75" t="s">
        <v>46</v>
      </c>
      <c r="E75" t="s">
        <v>58</v>
      </c>
      <c r="F75" t="s">
        <v>89</v>
      </c>
      <c r="G75" t="s">
        <v>165</v>
      </c>
      <c r="H75" t="s">
        <v>25</v>
      </c>
      <c r="J75">
        <v>1</v>
      </c>
      <c r="K75" s="1">
        <v>44691</v>
      </c>
      <c r="L75" s="1">
        <v>44699</v>
      </c>
      <c r="M75" s="1">
        <v>44805</v>
      </c>
      <c r="N75" s="1">
        <v>44819</v>
      </c>
      <c r="O75" s="1">
        <v>44830</v>
      </c>
      <c r="P75" s="1">
        <v>44893</v>
      </c>
      <c r="Q75" s="1">
        <v>44791</v>
      </c>
      <c r="R75" s="1">
        <v>44855</v>
      </c>
      <c r="T75">
        <f t="shared" ref="T75:T85" si="2">L75-$K75</f>
        <v>8</v>
      </c>
      <c r="U75">
        <f t="shared" ref="U75:U85" si="3">M75-$K75</f>
        <v>114</v>
      </c>
      <c r="V75">
        <f t="shared" ref="V75:V85" si="4">N75-$K75</f>
        <v>128</v>
      </c>
      <c r="W75">
        <f t="shared" ref="W75:W85" si="5">O75-$K75</f>
        <v>139</v>
      </c>
      <c r="X75">
        <f t="shared" ref="X75:X85" si="6">P75-$K75</f>
        <v>202</v>
      </c>
    </row>
    <row r="76" spans="1:24" x14ac:dyDescent="0.25">
      <c r="A76" t="str">
        <f t="shared" si="1"/>
        <v>2022_NSW_Methul_Lentil_SatelliteTOSTOS1VarietyGreenfieldWaterTrtRainFed</v>
      </c>
      <c r="B76" t="s">
        <v>87</v>
      </c>
      <c r="C76" t="s">
        <v>88</v>
      </c>
      <c r="D76" t="s">
        <v>46</v>
      </c>
      <c r="E76" t="s">
        <v>58</v>
      </c>
      <c r="F76" t="s">
        <v>89</v>
      </c>
      <c r="G76" t="s">
        <v>166</v>
      </c>
      <c r="H76" t="s">
        <v>25</v>
      </c>
      <c r="J76">
        <v>1</v>
      </c>
      <c r="K76" s="1">
        <v>44691</v>
      </c>
      <c r="L76" s="1">
        <v>44699</v>
      </c>
      <c r="M76" s="1">
        <v>44808</v>
      </c>
      <c r="N76" s="1">
        <v>44827</v>
      </c>
      <c r="O76" s="1">
        <v>44841</v>
      </c>
      <c r="P76" s="1">
        <v>44893</v>
      </c>
      <c r="Q76" s="1">
        <v>44801</v>
      </c>
      <c r="R76" s="1">
        <v>44861</v>
      </c>
      <c r="T76">
        <f t="shared" si="2"/>
        <v>8</v>
      </c>
      <c r="U76">
        <f t="shared" si="3"/>
        <v>117</v>
      </c>
      <c r="V76">
        <f t="shared" si="4"/>
        <v>136</v>
      </c>
      <c r="W76">
        <f t="shared" si="5"/>
        <v>150</v>
      </c>
      <c r="X76">
        <f t="shared" si="6"/>
        <v>202</v>
      </c>
    </row>
    <row r="77" spans="1:24" x14ac:dyDescent="0.25">
      <c r="A77" t="str">
        <f t="shared" si="1"/>
        <v>2022_NSW_Methul_Lentil_SatelliteTOSTOS1VarietyHallmarkXTWaterTrtRainFed</v>
      </c>
      <c r="B77" t="s">
        <v>87</v>
      </c>
      <c r="C77" t="s">
        <v>88</v>
      </c>
      <c r="D77" t="s">
        <v>46</v>
      </c>
      <c r="E77" t="s">
        <v>58</v>
      </c>
      <c r="F77" t="s">
        <v>89</v>
      </c>
      <c r="G77" t="s">
        <v>167</v>
      </c>
      <c r="H77" t="s">
        <v>25</v>
      </c>
      <c r="J77">
        <v>1</v>
      </c>
      <c r="K77" s="1">
        <v>44691</v>
      </c>
      <c r="L77" s="1">
        <v>44699</v>
      </c>
      <c r="M77" s="1">
        <v>44800</v>
      </c>
      <c r="N77" s="1">
        <v>44819</v>
      </c>
      <c r="O77" s="1">
        <v>44830</v>
      </c>
      <c r="P77" s="1">
        <v>44893</v>
      </c>
      <c r="Q77" s="1">
        <v>44791</v>
      </c>
      <c r="R77" s="1">
        <v>44855</v>
      </c>
      <c r="T77">
        <f t="shared" si="2"/>
        <v>8</v>
      </c>
      <c r="U77">
        <f t="shared" si="3"/>
        <v>109</v>
      </c>
      <c r="V77">
        <f t="shared" si="4"/>
        <v>128</v>
      </c>
      <c r="W77">
        <f t="shared" si="5"/>
        <v>139</v>
      </c>
      <c r="X77">
        <f t="shared" si="6"/>
        <v>202</v>
      </c>
    </row>
    <row r="78" spans="1:24" x14ac:dyDescent="0.25">
      <c r="A78" t="str">
        <f t="shared" si="1"/>
        <v>2022_NSW_Methul_Lentil_SatelliteTOSTOS1VarietyJumbo2WaterTrtRainFed</v>
      </c>
      <c r="B78" t="s">
        <v>87</v>
      </c>
      <c r="C78" t="s">
        <v>88</v>
      </c>
      <c r="D78" t="s">
        <v>46</v>
      </c>
      <c r="E78" t="s">
        <v>58</v>
      </c>
      <c r="F78" t="s">
        <v>89</v>
      </c>
      <c r="G78" t="s">
        <v>168</v>
      </c>
      <c r="H78" t="s">
        <v>25</v>
      </c>
      <c r="J78">
        <v>1</v>
      </c>
      <c r="K78" s="1">
        <v>44691</v>
      </c>
      <c r="L78" s="1">
        <v>44699</v>
      </c>
      <c r="M78" s="1">
        <v>44793</v>
      </c>
      <c r="N78" s="1">
        <v>44818</v>
      </c>
      <c r="O78" s="1">
        <v>44836</v>
      </c>
      <c r="P78" s="1">
        <v>44893</v>
      </c>
      <c r="Q78" s="1">
        <v>44790</v>
      </c>
      <c r="R78" s="1">
        <v>44855</v>
      </c>
      <c r="T78">
        <f t="shared" si="2"/>
        <v>8</v>
      </c>
      <c r="U78">
        <f t="shared" si="3"/>
        <v>102</v>
      </c>
      <c r="V78">
        <f t="shared" si="4"/>
        <v>127</v>
      </c>
      <c r="W78">
        <f t="shared" si="5"/>
        <v>145</v>
      </c>
      <c r="X78">
        <f t="shared" si="6"/>
        <v>202</v>
      </c>
    </row>
    <row r="79" spans="1:24" x14ac:dyDescent="0.25">
      <c r="A79" t="str">
        <f t="shared" si="1"/>
        <v>2022_NSW_Methul_Lentil_SatelliteTOSTOS1VarietyKelpieXTWaterTrtRainFed</v>
      </c>
      <c r="B79" t="s">
        <v>87</v>
      </c>
      <c r="C79" t="s">
        <v>88</v>
      </c>
      <c r="D79" t="s">
        <v>46</v>
      </c>
      <c r="E79" t="s">
        <v>58</v>
      </c>
      <c r="F79" t="s">
        <v>89</v>
      </c>
      <c r="G79" t="s">
        <v>169</v>
      </c>
      <c r="H79" t="s">
        <v>25</v>
      </c>
      <c r="J79">
        <v>1</v>
      </c>
      <c r="K79" s="1">
        <v>44691</v>
      </c>
      <c r="L79" s="1">
        <v>44699</v>
      </c>
      <c r="M79" s="1">
        <v>44797</v>
      </c>
      <c r="N79" s="1">
        <v>44815</v>
      </c>
      <c r="O79" s="1">
        <v>44830</v>
      </c>
      <c r="P79" s="1">
        <v>44893</v>
      </c>
      <c r="Q79" s="1">
        <v>44787</v>
      </c>
      <c r="R79" s="1">
        <v>44854</v>
      </c>
      <c r="T79">
        <f t="shared" si="2"/>
        <v>8</v>
      </c>
      <c r="U79">
        <f t="shared" si="3"/>
        <v>106</v>
      </c>
      <c r="V79">
        <f t="shared" si="4"/>
        <v>124</v>
      </c>
      <c r="W79">
        <f t="shared" si="5"/>
        <v>139</v>
      </c>
      <c r="X79">
        <f t="shared" si="6"/>
        <v>202</v>
      </c>
    </row>
    <row r="80" spans="1:24" x14ac:dyDescent="0.25">
      <c r="A80" t="str">
        <f t="shared" si="1"/>
        <v>2022_NSW_Methul_Lentil_SatelliteTOSTOS2VarietyAceWaterTrtRainFed</v>
      </c>
      <c r="B80" t="s">
        <v>87</v>
      </c>
      <c r="C80" t="s">
        <v>88</v>
      </c>
      <c r="D80" t="s">
        <v>46</v>
      </c>
      <c r="E80" t="s">
        <v>58</v>
      </c>
      <c r="F80" t="s">
        <v>89</v>
      </c>
      <c r="G80" t="s">
        <v>164</v>
      </c>
      <c r="H80" t="s">
        <v>25</v>
      </c>
      <c r="J80">
        <v>2</v>
      </c>
      <c r="K80" s="1">
        <v>44726</v>
      </c>
      <c r="L80" s="1">
        <v>44740</v>
      </c>
      <c r="M80" s="1">
        <v>44827</v>
      </c>
      <c r="N80" s="1">
        <v>44846</v>
      </c>
      <c r="O80" s="1">
        <v>44861</v>
      </c>
      <c r="P80" s="1">
        <v>44893</v>
      </c>
      <c r="Q80" s="1">
        <v>44824</v>
      </c>
      <c r="R80" s="1">
        <v>44876</v>
      </c>
      <c r="T80">
        <f t="shared" si="2"/>
        <v>14</v>
      </c>
      <c r="U80">
        <f t="shared" si="3"/>
        <v>101</v>
      </c>
      <c r="V80">
        <f t="shared" si="4"/>
        <v>120</v>
      </c>
      <c r="W80">
        <f t="shared" si="5"/>
        <v>135</v>
      </c>
      <c r="X80">
        <f t="shared" si="6"/>
        <v>167</v>
      </c>
    </row>
    <row r="81" spans="1:24" x14ac:dyDescent="0.25">
      <c r="A81" t="str">
        <f t="shared" si="1"/>
        <v>2022_NSW_Methul_Lentil_SatelliteTOSTOS2VarietyBoltWaterTrtRainFed</v>
      </c>
      <c r="B81" t="s">
        <v>87</v>
      </c>
      <c r="C81" t="s">
        <v>88</v>
      </c>
      <c r="D81" t="s">
        <v>46</v>
      </c>
      <c r="E81" t="s">
        <v>58</v>
      </c>
      <c r="F81" t="s">
        <v>89</v>
      </c>
      <c r="G81" t="s">
        <v>165</v>
      </c>
      <c r="H81" t="s">
        <v>25</v>
      </c>
      <c r="J81">
        <v>2</v>
      </c>
      <c r="K81" s="1">
        <v>44726</v>
      </c>
      <c r="L81" s="1">
        <v>44740</v>
      </c>
      <c r="M81" s="1">
        <v>44819</v>
      </c>
      <c r="N81" s="1">
        <v>44834</v>
      </c>
      <c r="O81" s="1">
        <v>44847</v>
      </c>
      <c r="P81" s="1">
        <v>44893</v>
      </c>
      <c r="Q81" s="1">
        <v>44810</v>
      </c>
      <c r="R81" s="1">
        <v>44867</v>
      </c>
      <c r="T81">
        <f t="shared" si="2"/>
        <v>14</v>
      </c>
      <c r="U81">
        <f t="shared" si="3"/>
        <v>93</v>
      </c>
      <c r="V81">
        <f t="shared" si="4"/>
        <v>108</v>
      </c>
      <c r="W81">
        <f t="shared" si="5"/>
        <v>121</v>
      </c>
      <c r="X81">
        <f t="shared" si="6"/>
        <v>167</v>
      </c>
    </row>
    <row r="82" spans="1:24" x14ac:dyDescent="0.25">
      <c r="A82" t="str">
        <f t="shared" si="1"/>
        <v>2022_NSW_Methul_Lentil_SatelliteTOSTOS2VarietyGreenfieldWaterTrtRainFed</v>
      </c>
      <c r="B82" t="s">
        <v>87</v>
      </c>
      <c r="C82" t="s">
        <v>88</v>
      </c>
      <c r="D82" t="s">
        <v>46</v>
      </c>
      <c r="E82" t="s">
        <v>58</v>
      </c>
      <c r="F82" t="s">
        <v>89</v>
      </c>
      <c r="G82" t="s">
        <v>166</v>
      </c>
      <c r="H82" t="s">
        <v>25</v>
      </c>
      <c r="J82">
        <v>2</v>
      </c>
      <c r="K82" s="1">
        <v>44726</v>
      </c>
      <c r="L82" s="1">
        <v>44740</v>
      </c>
      <c r="M82" s="1">
        <v>44830</v>
      </c>
      <c r="N82" s="1">
        <v>44838</v>
      </c>
      <c r="O82" s="1">
        <v>44865</v>
      </c>
      <c r="P82" s="1">
        <v>44893</v>
      </c>
      <c r="Q82" s="1">
        <v>44814</v>
      </c>
      <c r="R82" s="1">
        <v>44871</v>
      </c>
      <c r="T82">
        <f t="shared" si="2"/>
        <v>14</v>
      </c>
      <c r="U82">
        <f t="shared" si="3"/>
        <v>104</v>
      </c>
      <c r="V82">
        <f t="shared" si="4"/>
        <v>112</v>
      </c>
      <c r="W82">
        <f t="shared" si="5"/>
        <v>139</v>
      </c>
      <c r="X82">
        <f t="shared" si="6"/>
        <v>167</v>
      </c>
    </row>
    <row r="83" spans="1:24" x14ac:dyDescent="0.25">
      <c r="A83" t="str">
        <f t="shared" si="1"/>
        <v>2022_NSW_Methul_Lentil_SatelliteTOSTOS2VarietyHallmarkXTWaterTrtRainFed</v>
      </c>
      <c r="B83" t="s">
        <v>87</v>
      </c>
      <c r="C83" t="s">
        <v>88</v>
      </c>
      <c r="D83" t="s">
        <v>46</v>
      </c>
      <c r="E83" t="s">
        <v>58</v>
      </c>
      <c r="F83" t="s">
        <v>89</v>
      </c>
      <c r="G83" t="s">
        <v>167</v>
      </c>
      <c r="H83" t="s">
        <v>25</v>
      </c>
      <c r="J83">
        <v>2</v>
      </c>
      <c r="K83" s="1">
        <v>44726</v>
      </c>
      <c r="L83" s="1">
        <v>44740</v>
      </c>
      <c r="M83" s="1">
        <v>44819</v>
      </c>
      <c r="N83" s="1">
        <v>44832</v>
      </c>
      <c r="O83" s="1">
        <v>44851</v>
      </c>
      <c r="P83" s="1">
        <v>44893</v>
      </c>
      <c r="Q83" s="1">
        <v>44807</v>
      </c>
      <c r="R83" s="1">
        <v>44865</v>
      </c>
      <c r="T83">
        <f t="shared" si="2"/>
        <v>14</v>
      </c>
      <c r="U83">
        <f t="shared" si="3"/>
        <v>93</v>
      </c>
      <c r="V83">
        <f t="shared" si="4"/>
        <v>106</v>
      </c>
      <c r="W83">
        <f t="shared" si="5"/>
        <v>125</v>
      </c>
      <c r="X83">
        <f t="shared" si="6"/>
        <v>167</v>
      </c>
    </row>
    <row r="84" spans="1:24" x14ac:dyDescent="0.25">
      <c r="A84" t="str">
        <f t="shared" si="1"/>
        <v>2022_NSW_Methul_Lentil_SatelliteTOSTOS2VarietyJumbo2WaterTrtRainFed</v>
      </c>
      <c r="B84" t="s">
        <v>87</v>
      </c>
      <c r="C84" t="s">
        <v>88</v>
      </c>
      <c r="D84" t="s">
        <v>46</v>
      </c>
      <c r="E84" t="s">
        <v>58</v>
      </c>
      <c r="F84" t="s">
        <v>89</v>
      </c>
      <c r="G84" t="s">
        <v>168</v>
      </c>
      <c r="H84" t="s">
        <v>25</v>
      </c>
      <c r="J84">
        <v>2</v>
      </c>
      <c r="K84" s="1">
        <v>44726</v>
      </c>
      <c r="L84" s="1">
        <v>44740</v>
      </c>
      <c r="M84" s="1">
        <v>44819</v>
      </c>
      <c r="N84" s="1">
        <v>44838</v>
      </c>
      <c r="O84" s="1">
        <v>44851</v>
      </c>
      <c r="P84" s="1">
        <v>44893</v>
      </c>
      <c r="Q84" s="1">
        <v>44814</v>
      </c>
      <c r="R84" s="1">
        <v>44871</v>
      </c>
      <c r="T84">
        <f t="shared" si="2"/>
        <v>14</v>
      </c>
      <c r="U84">
        <f t="shared" si="3"/>
        <v>93</v>
      </c>
      <c r="V84">
        <f t="shared" si="4"/>
        <v>112</v>
      </c>
      <c r="W84">
        <f t="shared" si="5"/>
        <v>125</v>
      </c>
      <c r="X84">
        <f t="shared" si="6"/>
        <v>167</v>
      </c>
    </row>
    <row r="85" spans="1:24" x14ac:dyDescent="0.25">
      <c r="A85" t="str">
        <f t="shared" si="1"/>
        <v>2022_NSW_Methul_Lentil_SatelliteTOSTOS2VarietyKelpieXTWaterTrtRainFed</v>
      </c>
      <c r="B85" t="s">
        <v>87</v>
      </c>
      <c r="C85" t="s">
        <v>88</v>
      </c>
      <c r="D85" t="s">
        <v>46</v>
      </c>
      <c r="E85" t="s">
        <v>58</v>
      </c>
      <c r="F85" t="s">
        <v>89</v>
      </c>
      <c r="G85" t="s">
        <v>169</v>
      </c>
      <c r="H85" t="s">
        <v>25</v>
      </c>
      <c r="J85">
        <v>2</v>
      </c>
      <c r="K85" s="1">
        <v>44726</v>
      </c>
      <c r="L85" s="1">
        <v>44740</v>
      </c>
      <c r="M85" s="1">
        <v>44819</v>
      </c>
      <c r="N85" s="1">
        <v>44830</v>
      </c>
      <c r="O85" s="1">
        <v>44844</v>
      </c>
      <c r="P85" s="1">
        <v>44893</v>
      </c>
      <c r="Q85" s="1">
        <v>44805</v>
      </c>
      <c r="R85" s="1">
        <v>44863</v>
      </c>
      <c r="T85">
        <f t="shared" si="2"/>
        <v>14</v>
      </c>
      <c r="U85">
        <f t="shared" si="3"/>
        <v>93</v>
      </c>
      <c r="V85">
        <f t="shared" si="4"/>
        <v>104</v>
      </c>
      <c r="W85">
        <f t="shared" si="5"/>
        <v>118</v>
      </c>
      <c r="X85">
        <f t="shared" si="6"/>
        <v>167</v>
      </c>
    </row>
    <row r="86" spans="1:24" hidden="1" x14ac:dyDescent="0.25">
      <c r="B86" t="s">
        <v>74</v>
      </c>
      <c r="C86" t="s">
        <v>75</v>
      </c>
      <c r="D86" t="s">
        <v>20</v>
      </c>
      <c r="E86" t="s">
        <v>58</v>
      </c>
      <c r="F86" t="s">
        <v>76</v>
      </c>
      <c r="G86" t="s">
        <v>23</v>
      </c>
      <c r="H86" t="s">
        <v>25</v>
      </c>
      <c r="J86">
        <v>1</v>
      </c>
      <c r="K86" s="1">
        <v>44690</v>
      </c>
      <c r="L86" s="1">
        <v>44701</v>
      </c>
      <c r="M86" s="1">
        <v>44790</v>
      </c>
      <c r="N86" s="1">
        <v>44818</v>
      </c>
      <c r="O86" s="1">
        <v>44876</v>
      </c>
      <c r="P86" s="1">
        <v>44918</v>
      </c>
      <c r="Q86" s="1">
        <v>44776</v>
      </c>
      <c r="R86" s="1">
        <v>44863</v>
      </c>
      <c r="S86" t="s">
        <v>32</v>
      </c>
    </row>
    <row r="87" spans="1:24" hidden="1" x14ac:dyDescent="0.25">
      <c r="B87" t="s">
        <v>74</v>
      </c>
      <c r="C87" t="s">
        <v>75</v>
      </c>
      <c r="D87" t="s">
        <v>20</v>
      </c>
      <c r="E87" t="s">
        <v>58</v>
      </c>
      <c r="F87" t="s">
        <v>76</v>
      </c>
      <c r="G87" t="s">
        <v>77</v>
      </c>
      <c r="H87" t="s">
        <v>25</v>
      </c>
      <c r="J87">
        <v>1</v>
      </c>
      <c r="K87" s="1">
        <v>44690</v>
      </c>
      <c r="L87" s="1">
        <v>44701</v>
      </c>
      <c r="M87" s="1">
        <v>44790</v>
      </c>
      <c r="N87" s="1">
        <v>44814</v>
      </c>
      <c r="O87" s="1">
        <v>44876</v>
      </c>
      <c r="P87" s="1">
        <v>44915</v>
      </c>
      <c r="Q87" s="1">
        <v>44772</v>
      </c>
      <c r="R87" s="1">
        <v>44860</v>
      </c>
      <c r="S87" t="s">
        <v>32</v>
      </c>
    </row>
    <row r="88" spans="1:24" hidden="1" x14ac:dyDescent="0.25">
      <c r="B88" t="s">
        <v>74</v>
      </c>
      <c r="C88" t="s">
        <v>75</v>
      </c>
      <c r="D88" t="s">
        <v>20</v>
      </c>
      <c r="E88" t="s">
        <v>58</v>
      </c>
      <c r="F88" t="s">
        <v>76</v>
      </c>
      <c r="G88" t="s">
        <v>26</v>
      </c>
      <c r="H88" t="s">
        <v>25</v>
      </c>
      <c r="J88">
        <v>1</v>
      </c>
      <c r="K88" s="1">
        <v>44690</v>
      </c>
      <c r="L88" s="1">
        <v>44701</v>
      </c>
      <c r="M88" s="1">
        <v>44790</v>
      </c>
      <c r="N88" s="1">
        <v>44814</v>
      </c>
      <c r="O88" s="1">
        <v>44878</v>
      </c>
      <c r="P88" s="1">
        <v>44915</v>
      </c>
      <c r="Q88" s="1">
        <v>44772</v>
      </c>
      <c r="R88" s="1">
        <v>44860</v>
      </c>
      <c r="S88" t="s">
        <v>32</v>
      </c>
    </row>
    <row r="89" spans="1:24" hidden="1" x14ac:dyDescent="0.25">
      <c r="B89" t="s">
        <v>74</v>
      </c>
      <c r="C89" t="s">
        <v>75</v>
      </c>
      <c r="D89" t="s">
        <v>20</v>
      </c>
      <c r="E89" t="s">
        <v>58</v>
      </c>
      <c r="F89" t="s">
        <v>76</v>
      </c>
      <c r="G89" t="s">
        <v>27</v>
      </c>
      <c r="H89" t="s">
        <v>25</v>
      </c>
      <c r="J89">
        <v>1</v>
      </c>
      <c r="K89" s="1">
        <v>44690</v>
      </c>
      <c r="L89" s="1">
        <v>44701</v>
      </c>
      <c r="M89" s="1">
        <v>44790</v>
      </c>
      <c r="N89" s="1">
        <v>44822</v>
      </c>
      <c r="O89" s="1">
        <v>44878</v>
      </c>
      <c r="P89" s="1">
        <v>44915</v>
      </c>
      <c r="Q89" s="1">
        <v>44780</v>
      </c>
      <c r="R89" s="1">
        <v>44866</v>
      </c>
      <c r="S89" t="s">
        <v>32</v>
      </c>
    </row>
    <row r="90" spans="1:24" hidden="1" x14ac:dyDescent="0.25">
      <c r="B90" t="s">
        <v>74</v>
      </c>
      <c r="C90" t="s">
        <v>75</v>
      </c>
      <c r="D90" t="s">
        <v>20</v>
      </c>
      <c r="E90" t="s">
        <v>58</v>
      </c>
      <c r="F90" t="s">
        <v>76</v>
      </c>
      <c r="G90" t="s">
        <v>78</v>
      </c>
      <c r="H90" t="s">
        <v>25</v>
      </c>
      <c r="J90">
        <v>1</v>
      </c>
      <c r="K90" s="1">
        <v>44690</v>
      </c>
      <c r="L90" s="1">
        <v>44701</v>
      </c>
      <c r="M90" s="1">
        <v>44797</v>
      </c>
      <c r="N90" s="1">
        <v>44822</v>
      </c>
      <c r="O90" s="1">
        <v>44878</v>
      </c>
      <c r="P90" s="1">
        <v>44913</v>
      </c>
      <c r="Q90" s="1">
        <v>44780</v>
      </c>
      <c r="R90" s="1">
        <v>44866</v>
      </c>
      <c r="S90" t="s">
        <v>32</v>
      </c>
    </row>
    <row r="91" spans="1:24" hidden="1" x14ac:dyDescent="0.25">
      <c r="B91" t="s">
        <v>74</v>
      </c>
      <c r="C91" t="s">
        <v>75</v>
      </c>
      <c r="D91" t="s">
        <v>20</v>
      </c>
      <c r="E91" t="s">
        <v>58</v>
      </c>
      <c r="F91" t="s">
        <v>76</v>
      </c>
      <c r="G91" t="s">
        <v>28</v>
      </c>
      <c r="H91" t="s">
        <v>25</v>
      </c>
      <c r="J91">
        <v>1</v>
      </c>
      <c r="K91" s="1">
        <v>44690</v>
      </c>
      <c r="L91" s="1">
        <v>44701</v>
      </c>
      <c r="M91" s="1">
        <v>44790</v>
      </c>
      <c r="N91" s="1">
        <v>44818</v>
      </c>
      <c r="O91" s="1">
        <v>44873</v>
      </c>
      <c r="P91" s="1">
        <v>44918</v>
      </c>
      <c r="Q91" s="1">
        <v>44776</v>
      </c>
      <c r="R91" s="1">
        <v>44863</v>
      </c>
      <c r="S91" t="s">
        <v>32</v>
      </c>
    </row>
    <row r="92" spans="1:24" hidden="1" x14ac:dyDescent="0.25">
      <c r="B92" t="s">
        <v>74</v>
      </c>
      <c r="C92" t="s">
        <v>75</v>
      </c>
      <c r="D92" t="s">
        <v>20</v>
      </c>
      <c r="E92" t="s">
        <v>58</v>
      </c>
      <c r="F92" t="s">
        <v>76</v>
      </c>
      <c r="G92" t="s">
        <v>23</v>
      </c>
      <c r="H92" t="s">
        <v>25</v>
      </c>
      <c r="J92">
        <v>2</v>
      </c>
      <c r="K92" s="1">
        <v>44721</v>
      </c>
      <c r="L92" s="1">
        <v>44735</v>
      </c>
      <c r="M92" s="1">
        <v>44818</v>
      </c>
      <c r="N92" s="1">
        <v>44834</v>
      </c>
      <c r="O92" s="1">
        <v>44878</v>
      </c>
      <c r="P92" s="1">
        <v>44918</v>
      </c>
      <c r="Q92" s="1">
        <v>44800</v>
      </c>
      <c r="R92" s="1">
        <v>44875</v>
      </c>
    </row>
    <row r="93" spans="1:24" hidden="1" x14ac:dyDescent="0.25">
      <c r="B93" t="s">
        <v>74</v>
      </c>
      <c r="C93" t="s">
        <v>75</v>
      </c>
      <c r="D93" t="s">
        <v>20</v>
      </c>
      <c r="E93" t="s">
        <v>58</v>
      </c>
      <c r="F93" t="s">
        <v>76</v>
      </c>
      <c r="G93" t="s">
        <v>77</v>
      </c>
      <c r="H93" t="s">
        <v>25</v>
      </c>
      <c r="J93">
        <v>2</v>
      </c>
      <c r="K93" s="1">
        <v>44721</v>
      </c>
      <c r="L93" s="1">
        <v>44735</v>
      </c>
      <c r="M93" s="1"/>
      <c r="N93" s="1">
        <v>44844</v>
      </c>
      <c r="O93" s="1">
        <v>44878</v>
      </c>
      <c r="P93" s="1">
        <v>44918</v>
      </c>
      <c r="Q93" s="1">
        <v>44813</v>
      </c>
      <c r="R93" s="1">
        <v>44883</v>
      </c>
    </row>
    <row r="94" spans="1:24" hidden="1" x14ac:dyDescent="0.25">
      <c r="B94" t="s">
        <v>63</v>
      </c>
      <c r="C94" t="s">
        <v>64</v>
      </c>
      <c r="D94" t="s">
        <v>20</v>
      </c>
      <c r="E94" t="s">
        <v>58</v>
      </c>
      <c r="F94" t="s">
        <v>65</v>
      </c>
      <c r="G94" t="s">
        <v>23</v>
      </c>
      <c r="H94" t="s">
        <v>25</v>
      </c>
      <c r="J94">
        <v>1</v>
      </c>
      <c r="K94" s="1">
        <v>44686</v>
      </c>
      <c r="L94" s="1">
        <v>44693</v>
      </c>
      <c r="M94" s="1" t="e">
        <v>#NUM!</v>
      </c>
      <c r="N94" s="1" t="e">
        <v>#NUM!</v>
      </c>
      <c r="O94" s="1" t="e">
        <v>#NUM!</v>
      </c>
      <c r="P94" s="1" t="e">
        <v>#NUM!</v>
      </c>
      <c r="Q94" s="1" t="e">
        <v>#NUM!</v>
      </c>
      <c r="R94" s="1" t="e">
        <v>#NUM!</v>
      </c>
      <c r="S94" t="s">
        <v>32</v>
      </c>
    </row>
    <row r="95" spans="1:24" hidden="1" x14ac:dyDescent="0.25">
      <c r="B95" t="s">
        <v>63</v>
      </c>
      <c r="C95" t="s">
        <v>64</v>
      </c>
      <c r="D95" t="s">
        <v>20</v>
      </c>
      <c r="E95" t="s">
        <v>58</v>
      </c>
      <c r="F95" t="s">
        <v>65</v>
      </c>
      <c r="G95" t="s">
        <v>23</v>
      </c>
      <c r="H95" t="s">
        <v>25</v>
      </c>
      <c r="J95">
        <v>2</v>
      </c>
      <c r="K95" s="1">
        <v>44733</v>
      </c>
      <c r="L95" s="1">
        <v>44742</v>
      </c>
      <c r="M95" s="1" t="e">
        <v>#NUM!</v>
      </c>
      <c r="N95" s="1" t="e">
        <v>#NUM!</v>
      </c>
      <c r="O95" s="1" t="e">
        <v>#NUM!</v>
      </c>
      <c r="P95" s="1" t="e">
        <v>#NUM!</v>
      </c>
      <c r="Q95" s="1" t="e">
        <v>#NUM!</v>
      </c>
      <c r="R95" s="1" t="e">
        <v>#NUM!</v>
      </c>
      <c r="S95" t="s">
        <v>32</v>
      </c>
    </row>
    <row r="96" spans="1:24" hidden="1" x14ac:dyDescent="0.25">
      <c r="B96" t="s">
        <v>63</v>
      </c>
      <c r="C96" t="s">
        <v>64</v>
      </c>
      <c r="D96" t="s">
        <v>20</v>
      </c>
      <c r="E96" t="s">
        <v>58</v>
      </c>
      <c r="F96" t="s">
        <v>65</v>
      </c>
      <c r="G96" t="s">
        <v>26</v>
      </c>
      <c r="H96" t="s">
        <v>25</v>
      </c>
      <c r="J96">
        <v>1</v>
      </c>
      <c r="K96" s="1">
        <v>44686</v>
      </c>
      <c r="L96" s="1">
        <v>44693</v>
      </c>
      <c r="M96" s="1" t="e">
        <v>#NUM!</v>
      </c>
      <c r="N96" s="1" t="e">
        <v>#NUM!</v>
      </c>
      <c r="O96" s="1" t="e">
        <v>#NUM!</v>
      </c>
      <c r="P96" s="1" t="e">
        <v>#NUM!</v>
      </c>
      <c r="Q96" s="1" t="e">
        <v>#NUM!</v>
      </c>
      <c r="R96" s="1" t="e">
        <v>#NUM!</v>
      </c>
      <c r="S96" t="s">
        <v>32</v>
      </c>
    </row>
    <row r="97" spans="1:24" hidden="1" x14ac:dyDescent="0.25">
      <c r="B97" t="s">
        <v>63</v>
      </c>
      <c r="C97" t="s">
        <v>64</v>
      </c>
      <c r="D97" t="s">
        <v>20</v>
      </c>
      <c r="E97" t="s">
        <v>58</v>
      </c>
      <c r="F97" t="s">
        <v>65</v>
      </c>
      <c r="G97" t="s">
        <v>26</v>
      </c>
      <c r="H97" t="s">
        <v>25</v>
      </c>
      <c r="J97">
        <v>2</v>
      </c>
      <c r="K97" s="1">
        <v>44733</v>
      </c>
      <c r="L97" s="1">
        <v>44742</v>
      </c>
      <c r="M97" s="1" t="e">
        <v>#NUM!</v>
      </c>
      <c r="N97" s="1" t="e">
        <v>#NUM!</v>
      </c>
      <c r="O97" s="1" t="e">
        <v>#NUM!</v>
      </c>
      <c r="P97" s="1" t="e">
        <v>#NUM!</v>
      </c>
      <c r="Q97" s="1" t="e">
        <v>#NUM!</v>
      </c>
      <c r="R97" s="1" t="e">
        <v>#NUM!</v>
      </c>
      <c r="S97" t="s">
        <v>32</v>
      </c>
    </row>
    <row r="98" spans="1:24" hidden="1" x14ac:dyDescent="0.25">
      <c r="B98" t="s">
        <v>63</v>
      </c>
      <c r="C98" t="s">
        <v>64</v>
      </c>
      <c r="D98" t="s">
        <v>20</v>
      </c>
      <c r="E98" t="s">
        <v>58</v>
      </c>
      <c r="F98" t="s">
        <v>65</v>
      </c>
      <c r="G98" t="s">
        <v>27</v>
      </c>
      <c r="H98" t="s">
        <v>25</v>
      </c>
      <c r="J98">
        <v>1</v>
      </c>
      <c r="K98" s="1">
        <v>44686</v>
      </c>
      <c r="L98" s="1">
        <v>44693</v>
      </c>
      <c r="M98" s="1" t="e">
        <v>#NUM!</v>
      </c>
      <c r="N98" s="1" t="e">
        <v>#NUM!</v>
      </c>
      <c r="O98" s="1" t="e">
        <v>#NUM!</v>
      </c>
      <c r="P98" s="1" t="e">
        <v>#NUM!</v>
      </c>
      <c r="Q98" s="1" t="e">
        <v>#NUM!</v>
      </c>
      <c r="R98" s="1" t="e">
        <v>#NUM!</v>
      </c>
      <c r="S98" t="s">
        <v>32</v>
      </c>
    </row>
    <row r="99" spans="1:24" hidden="1" x14ac:dyDescent="0.25">
      <c r="B99" t="s">
        <v>63</v>
      </c>
      <c r="C99" t="s">
        <v>64</v>
      </c>
      <c r="D99" t="s">
        <v>20</v>
      </c>
      <c r="E99" t="s">
        <v>58</v>
      </c>
      <c r="F99" t="s">
        <v>65</v>
      </c>
      <c r="G99" t="s">
        <v>27</v>
      </c>
      <c r="H99" t="s">
        <v>25</v>
      </c>
      <c r="J99">
        <v>2</v>
      </c>
      <c r="K99" s="1">
        <v>44733</v>
      </c>
      <c r="L99" s="1">
        <v>44742</v>
      </c>
      <c r="M99" s="1" t="e">
        <v>#NUM!</v>
      </c>
      <c r="N99" s="1" t="e">
        <v>#NUM!</v>
      </c>
      <c r="O99" s="1" t="e">
        <v>#NUM!</v>
      </c>
      <c r="P99" s="1" t="e">
        <v>#NUM!</v>
      </c>
      <c r="Q99" s="1" t="e">
        <v>#NUM!</v>
      </c>
      <c r="R99" s="1" t="e">
        <v>#NUM!</v>
      </c>
      <c r="S99" t="s">
        <v>32</v>
      </c>
    </row>
    <row r="100" spans="1:24" hidden="1" x14ac:dyDescent="0.25">
      <c r="B100" t="s">
        <v>63</v>
      </c>
      <c r="C100" t="s">
        <v>64</v>
      </c>
      <c r="D100" t="s">
        <v>20</v>
      </c>
      <c r="E100" t="s">
        <v>58</v>
      </c>
      <c r="F100" t="s">
        <v>65</v>
      </c>
      <c r="G100" t="s">
        <v>28</v>
      </c>
      <c r="H100" t="s">
        <v>25</v>
      </c>
      <c r="J100">
        <v>1</v>
      </c>
      <c r="K100" s="1">
        <v>44686</v>
      </c>
      <c r="L100" s="1">
        <v>44693</v>
      </c>
      <c r="M100" s="1" t="e">
        <v>#NUM!</v>
      </c>
      <c r="N100" s="1" t="e">
        <v>#NUM!</v>
      </c>
      <c r="O100" s="1" t="e">
        <v>#NUM!</v>
      </c>
      <c r="P100" s="1" t="e">
        <v>#NUM!</v>
      </c>
      <c r="Q100" s="1" t="e">
        <v>#NUM!</v>
      </c>
      <c r="R100" s="1" t="e">
        <v>#NUM!</v>
      </c>
      <c r="S100" t="s">
        <v>32</v>
      </c>
    </row>
    <row r="101" spans="1:24" hidden="1" x14ac:dyDescent="0.25">
      <c r="B101" t="s">
        <v>63</v>
      </c>
      <c r="C101" t="s">
        <v>64</v>
      </c>
      <c r="D101" t="s">
        <v>20</v>
      </c>
      <c r="E101" t="s">
        <v>58</v>
      </c>
      <c r="F101" t="s">
        <v>65</v>
      </c>
      <c r="G101" t="s">
        <v>28</v>
      </c>
      <c r="H101" t="s">
        <v>25</v>
      </c>
      <c r="J101">
        <v>2</v>
      </c>
      <c r="K101" s="1">
        <v>44733</v>
      </c>
      <c r="L101" s="1">
        <v>44742</v>
      </c>
      <c r="M101" s="1" t="e">
        <v>#NUM!</v>
      </c>
      <c r="N101" s="1" t="e">
        <v>#NUM!</v>
      </c>
      <c r="O101" s="1" t="e">
        <v>#NUM!</v>
      </c>
      <c r="P101" s="1" t="e">
        <v>#NUM!</v>
      </c>
      <c r="Q101" s="1" t="e">
        <v>#NUM!</v>
      </c>
      <c r="R101" s="1" t="e">
        <v>#NUM!</v>
      </c>
      <c r="S101" t="s">
        <v>32</v>
      </c>
    </row>
    <row r="102" spans="1:24" hidden="1" x14ac:dyDescent="0.25">
      <c r="B102" t="s">
        <v>74</v>
      </c>
      <c r="C102" t="s">
        <v>75</v>
      </c>
      <c r="D102" t="s">
        <v>20</v>
      </c>
      <c r="E102" t="s">
        <v>58</v>
      </c>
      <c r="F102" t="s">
        <v>76</v>
      </c>
      <c r="G102" t="s">
        <v>26</v>
      </c>
      <c r="H102" t="s">
        <v>25</v>
      </c>
      <c r="J102">
        <v>2</v>
      </c>
      <c r="K102" s="1">
        <v>44721</v>
      </c>
      <c r="L102" s="1">
        <v>44735</v>
      </c>
      <c r="M102" s="1">
        <v>44818</v>
      </c>
      <c r="N102" s="1">
        <v>44849</v>
      </c>
      <c r="O102" s="1">
        <v>44880</v>
      </c>
      <c r="P102" s="1">
        <v>44918</v>
      </c>
      <c r="Q102" s="1">
        <v>44820</v>
      </c>
      <c r="R102" s="1">
        <v>44887</v>
      </c>
    </row>
    <row r="103" spans="1:24" hidden="1" x14ac:dyDescent="0.25">
      <c r="B103" t="s">
        <v>74</v>
      </c>
      <c r="C103" t="s">
        <v>75</v>
      </c>
      <c r="D103" t="s">
        <v>20</v>
      </c>
      <c r="E103" t="s">
        <v>58</v>
      </c>
      <c r="F103" t="s">
        <v>76</v>
      </c>
      <c r="G103" t="s">
        <v>27</v>
      </c>
      <c r="H103" t="s">
        <v>25</v>
      </c>
      <c r="J103">
        <v>2</v>
      </c>
      <c r="K103" s="1">
        <v>44721</v>
      </c>
      <c r="L103" s="1">
        <v>44735</v>
      </c>
      <c r="M103" s="1">
        <v>44826</v>
      </c>
      <c r="N103" s="1">
        <v>44854</v>
      </c>
      <c r="O103" s="1">
        <v>44880</v>
      </c>
      <c r="P103" s="1">
        <v>44918</v>
      </c>
      <c r="Q103" s="1">
        <v>44827</v>
      </c>
      <c r="R103" s="1">
        <v>44891</v>
      </c>
    </row>
    <row r="104" spans="1:24" hidden="1" x14ac:dyDescent="0.25">
      <c r="B104" t="s">
        <v>74</v>
      </c>
      <c r="C104" t="s">
        <v>75</v>
      </c>
      <c r="D104" t="s">
        <v>20</v>
      </c>
      <c r="E104" t="s">
        <v>58</v>
      </c>
      <c r="F104" t="s">
        <v>76</v>
      </c>
      <c r="G104" t="s">
        <v>78</v>
      </c>
      <c r="H104" t="s">
        <v>25</v>
      </c>
      <c r="J104">
        <v>2</v>
      </c>
      <c r="K104" s="1">
        <v>44721</v>
      </c>
      <c r="L104" s="1">
        <v>44735</v>
      </c>
      <c r="M104" s="1">
        <v>44823</v>
      </c>
      <c r="N104" s="1">
        <v>44849</v>
      </c>
      <c r="O104" s="1">
        <v>44878</v>
      </c>
      <c r="P104" s="1">
        <v>44915</v>
      </c>
      <c r="Q104" s="1">
        <v>44820</v>
      </c>
      <c r="R104" s="1">
        <v>44887</v>
      </c>
    </row>
    <row r="105" spans="1:24" hidden="1" x14ac:dyDescent="0.25">
      <c r="B105" t="s">
        <v>74</v>
      </c>
      <c r="C105" t="s">
        <v>75</v>
      </c>
      <c r="D105" t="s">
        <v>20</v>
      </c>
      <c r="E105" t="s">
        <v>58</v>
      </c>
      <c r="F105" t="s">
        <v>76</v>
      </c>
      <c r="G105" t="s">
        <v>28</v>
      </c>
      <c r="H105" t="s">
        <v>25</v>
      </c>
      <c r="J105">
        <v>2</v>
      </c>
      <c r="K105" s="1">
        <v>44721</v>
      </c>
      <c r="L105" s="1">
        <v>44735</v>
      </c>
      <c r="M105" s="1">
        <v>44818</v>
      </c>
      <c r="N105" s="1">
        <v>44826</v>
      </c>
      <c r="O105" s="1">
        <v>44876</v>
      </c>
      <c r="P105" s="1">
        <v>44915</v>
      </c>
      <c r="Q105" s="1">
        <v>44786</v>
      </c>
      <c r="R105" s="1">
        <v>44870</v>
      </c>
    </row>
    <row r="106" spans="1:24" x14ac:dyDescent="0.25">
      <c r="A106" t="str">
        <f t="shared" ref="A106:A117" si="7">C106&amp;"TOSTOS"&amp;J106&amp;"Variety"&amp;G106&amp;"WaterTrt"&amp;H106&amp;IF(I106="","","Agronomy"&amp;I106)</f>
        <v>2022_NSW_RankinsSprings_Lentil_SatelliteTOSTOS1VarietyAceWaterTrtRainFed</v>
      </c>
      <c r="B106" t="s">
        <v>94</v>
      </c>
      <c r="C106" t="s">
        <v>95</v>
      </c>
      <c r="D106" t="s">
        <v>46</v>
      </c>
      <c r="E106" t="s">
        <v>58</v>
      </c>
      <c r="F106" t="s">
        <v>76</v>
      </c>
      <c r="G106" t="s">
        <v>164</v>
      </c>
      <c r="H106" t="s">
        <v>25</v>
      </c>
      <c r="J106">
        <v>1</v>
      </c>
      <c r="K106" s="1">
        <v>44690</v>
      </c>
      <c r="L106" s="1">
        <v>44696</v>
      </c>
      <c r="M106" s="1">
        <v>44790</v>
      </c>
      <c r="N106" s="1">
        <v>44818</v>
      </c>
      <c r="O106" s="1">
        <v>44860</v>
      </c>
      <c r="P106" s="1">
        <v>44891</v>
      </c>
      <c r="Q106" s="1">
        <v>44792</v>
      </c>
      <c r="R106" s="1">
        <v>44853</v>
      </c>
      <c r="T106">
        <f t="shared" ref="T106:T117" si="8">L106-$K106</f>
        <v>6</v>
      </c>
      <c r="U106">
        <f t="shared" ref="U106:U117" si="9">M106-$K106</f>
        <v>100</v>
      </c>
      <c r="V106">
        <f t="shared" ref="V106:V117" si="10">N106-$K106</f>
        <v>128</v>
      </c>
      <c r="W106">
        <f t="shared" ref="W106:W117" si="11">O106-$K106</f>
        <v>170</v>
      </c>
      <c r="X106">
        <f t="shared" ref="X106:X117" si="12">P106-$K106</f>
        <v>201</v>
      </c>
    </row>
    <row r="107" spans="1:24" x14ac:dyDescent="0.25">
      <c r="A107" t="str">
        <f t="shared" si="7"/>
        <v>2022_NSW_RankinsSprings_Lentil_SatelliteTOSTOS1VarietyBoltWaterTrtRainFed</v>
      </c>
      <c r="B107" t="s">
        <v>94</v>
      </c>
      <c r="C107" t="s">
        <v>95</v>
      </c>
      <c r="D107" t="s">
        <v>46</v>
      </c>
      <c r="E107" t="s">
        <v>58</v>
      </c>
      <c r="F107" t="s">
        <v>76</v>
      </c>
      <c r="G107" t="s">
        <v>165</v>
      </c>
      <c r="H107" t="s">
        <v>25</v>
      </c>
      <c r="J107">
        <v>1</v>
      </c>
      <c r="K107" s="1">
        <v>44690</v>
      </c>
      <c r="L107" s="1">
        <v>44696</v>
      </c>
      <c r="M107" s="1">
        <v>44790</v>
      </c>
      <c r="N107" s="1">
        <v>44804</v>
      </c>
      <c r="O107" s="1">
        <v>44838</v>
      </c>
      <c r="P107" s="1">
        <v>44883</v>
      </c>
      <c r="Q107" s="1">
        <v>44777</v>
      </c>
      <c r="R107" s="1">
        <v>44842</v>
      </c>
      <c r="T107">
        <f t="shared" si="8"/>
        <v>6</v>
      </c>
      <c r="U107">
        <f t="shared" si="9"/>
        <v>100</v>
      </c>
      <c r="V107">
        <f t="shared" si="10"/>
        <v>114</v>
      </c>
      <c r="W107">
        <f t="shared" si="11"/>
        <v>148</v>
      </c>
      <c r="X107">
        <f t="shared" si="12"/>
        <v>193</v>
      </c>
    </row>
    <row r="108" spans="1:24" x14ac:dyDescent="0.25">
      <c r="A108" t="str">
        <f t="shared" si="7"/>
        <v>2022_NSW_RankinsSprings_Lentil_SatelliteTOSTOS1VarietyGreenfieldWaterTrtRainFed</v>
      </c>
      <c r="B108" t="s">
        <v>94</v>
      </c>
      <c r="C108" t="s">
        <v>95</v>
      </c>
      <c r="D108" t="s">
        <v>46</v>
      </c>
      <c r="E108" t="s">
        <v>58</v>
      </c>
      <c r="F108" t="s">
        <v>76</v>
      </c>
      <c r="G108" t="s">
        <v>166</v>
      </c>
      <c r="H108" t="s">
        <v>25</v>
      </c>
      <c r="J108">
        <v>1</v>
      </c>
      <c r="K108" s="1">
        <v>44690</v>
      </c>
      <c r="L108" s="1">
        <v>44696</v>
      </c>
      <c r="M108" s="1">
        <v>44793</v>
      </c>
      <c r="N108" s="1">
        <v>44818</v>
      </c>
      <c r="O108" s="1">
        <v>44855</v>
      </c>
      <c r="P108" s="1">
        <v>44888</v>
      </c>
      <c r="Q108" s="1">
        <v>44792</v>
      </c>
      <c r="R108" s="1">
        <v>44853</v>
      </c>
      <c r="T108">
        <f t="shared" si="8"/>
        <v>6</v>
      </c>
      <c r="U108">
        <f t="shared" si="9"/>
        <v>103</v>
      </c>
      <c r="V108">
        <f t="shared" si="10"/>
        <v>128</v>
      </c>
      <c r="W108">
        <f t="shared" si="11"/>
        <v>165</v>
      </c>
      <c r="X108">
        <f t="shared" si="12"/>
        <v>198</v>
      </c>
    </row>
    <row r="109" spans="1:24" x14ac:dyDescent="0.25">
      <c r="A109" t="str">
        <f t="shared" si="7"/>
        <v>2022_NSW_RankinsSprings_Lentil_SatelliteTOSTOS1VarietyHallmarkXTWaterTrtRainFed</v>
      </c>
      <c r="B109" t="s">
        <v>94</v>
      </c>
      <c r="C109" t="s">
        <v>95</v>
      </c>
      <c r="D109" t="s">
        <v>46</v>
      </c>
      <c r="E109" t="s">
        <v>58</v>
      </c>
      <c r="F109" t="s">
        <v>76</v>
      </c>
      <c r="G109" t="s">
        <v>167</v>
      </c>
      <c r="H109" t="s">
        <v>25</v>
      </c>
      <c r="J109">
        <v>1</v>
      </c>
      <c r="K109" s="1">
        <v>44690</v>
      </c>
      <c r="L109" s="1">
        <v>44696</v>
      </c>
      <c r="M109" s="1">
        <v>44790</v>
      </c>
      <c r="N109" s="1">
        <v>44807</v>
      </c>
      <c r="O109" s="1">
        <v>44838</v>
      </c>
      <c r="P109" s="1">
        <v>44883</v>
      </c>
      <c r="Q109" s="1">
        <v>44779</v>
      </c>
      <c r="R109" s="1">
        <v>44845</v>
      </c>
      <c r="T109">
        <f t="shared" si="8"/>
        <v>6</v>
      </c>
      <c r="U109">
        <f t="shared" si="9"/>
        <v>100</v>
      </c>
      <c r="V109">
        <f t="shared" si="10"/>
        <v>117</v>
      </c>
      <c r="W109">
        <f t="shared" si="11"/>
        <v>148</v>
      </c>
      <c r="X109">
        <f t="shared" si="12"/>
        <v>193</v>
      </c>
    </row>
    <row r="110" spans="1:24" x14ac:dyDescent="0.25">
      <c r="A110" t="str">
        <f t="shared" si="7"/>
        <v>2022_NSW_RankinsSprings_Lentil_SatelliteTOSTOS1VarietyJumbo2WaterTrtRainFed</v>
      </c>
      <c r="B110" t="s">
        <v>94</v>
      </c>
      <c r="C110" t="s">
        <v>95</v>
      </c>
      <c r="D110" t="s">
        <v>46</v>
      </c>
      <c r="E110" t="s">
        <v>58</v>
      </c>
      <c r="F110" t="s">
        <v>76</v>
      </c>
      <c r="G110" t="s">
        <v>168</v>
      </c>
      <c r="H110" t="s">
        <v>25</v>
      </c>
      <c r="J110">
        <v>1</v>
      </c>
      <c r="K110" s="1">
        <v>44690</v>
      </c>
      <c r="L110" s="1">
        <v>44696</v>
      </c>
      <c r="M110" s="1">
        <v>44790</v>
      </c>
      <c r="N110" s="1">
        <v>44804</v>
      </c>
      <c r="O110" s="1">
        <v>44845</v>
      </c>
      <c r="P110" s="1">
        <v>44888</v>
      </c>
      <c r="Q110" s="1">
        <v>44777</v>
      </c>
      <c r="R110" s="1">
        <v>44842</v>
      </c>
      <c r="T110">
        <f t="shared" si="8"/>
        <v>6</v>
      </c>
      <c r="U110">
        <f t="shared" si="9"/>
        <v>100</v>
      </c>
      <c r="V110">
        <f t="shared" si="10"/>
        <v>114</v>
      </c>
      <c r="W110">
        <f t="shared" si="11"/>
        <v>155</v>
      </c>
      <c r="X110">
        <f t="shared" si="12"/>
        <v>198</v>
      </c>
    </row>
    <row r="111" spans="1:24" x14ac:dyDescent="0.25">
      <c r="A111" t="str">
        <f t="shared" si="7"/>
        <v>2022_NSW_RankinsSprings_Lentil_SatelliteTOSTOS1VarietyKelpieXTWaterTrtRainFed</v>
      </c>
      <c r="B111" t="s">
        <v>94</v>
      </c>
      <c r="C111" t="s">
        <v>95</v>
      </c>
      <c r="D111" t="s">
        <v>46</v>
      </c>
      <c r="E111" t="s">
        <v>58</v>
      </c>
      <c r="F111" t="s">
        <v>76</v>
      </c>
      <c r="G111" t="s">
        <v>169</v>
      </c>
      <c r="H111" t="s">
        <v>25</v>
      </c>
      <c r="J111">
        <v>1</v>
      </c>
      <c r="K111" s="1">
        <v>44690</v>
      </c>
      <c r="L111" s="1">
        <v>44696</v>
      </c>
      <c r="M111" s="1">
        <v>44790</v>
      </c>
      <c r="N111" s="1">
        <v>44804</v>
      </c>
      <c r="O111" s="1">
        <v>44833</v>
      </c>
      <c r="P111" s="1">
        <v>44880</v>
      </c>
      <c r="Q111" s="1">
        <v>44777</v>
      </c>
      <c r="R111" s="1">
        <v>44842</v>
      </c>
      <c r="T111">
        <f t="shared" si="8"/>
        <v>6</v>
      </c>
      <c r="U111">
        <f t="shared" si="9"/>
        <v>100</v>
      </c>
      <c r="V111">
        <f t="shared" si="10"/>
        <v>114</v>
      </c>
      <c r="W111">
        <f t="shared" si="11"/>
        <v>143</v>
      </c>
      <c r="X111">
        <f t="shared" si="12"/>
        <v>190</v>
      </c>
    </row>
    <row r="112" spans="1:24" x14ac:dyDescent="0.25">
      <c r="A112" t="str">
        <f t="shared" si="7"/>
        <v>2022_NSW_RankinsSprings_Lentil_SatelliteTOSTOS2VarietyAceWaterTrtRainFed</v>
      </c>
      <c r="B112" t="s">
        <v>94</v>
      </c>
      <c r="C112" t="s">
        <v>95</v>
      </c>
      <c r="D112" t="s">
        <v>46</v>
      </c>
      <c r="E112" t="s">
        <v>58</v>
      </c>
      <c r="F112" t="s">
        <v>76</v>
      </c>
      <c r="G112" t="s">
        <v>164</v>
      </c>
      <c r="H112" t="s">
        <v>25</v>
      </c>
      <c r="J112">
        <v>2</v>
      </c>
      <c r="K112" s="1">
        <v>44721</v>
      </c>
      <c r="L112" s="1">
        <v>44735</v>
      </c>
      <c r="M112" s="1">
        <v>44818</v>
      </c>
      <c r="N112" s="1">
        <v>44833</v>
      </c>
      <c r="O112" s="1">
        <v>44865</v>
      </c>
      <c r="P112" s="1">
        <v>44885</v>
      </c>
      <c r="Q112" s="1">
        <v>44810</v>
      </c>
      <c r="R112" s="1">
        <v>44864</v>
      </c>
      <c r="T112">
        <f t="shared" si="8"/>
        <v>14</v>
      </c>
      <c r="U112">
        <f t="shared" si="9"/>
        <v>97</v>
      </c>
      <c r="V112">
        <f t="shared" si="10"/>
        <v>112</v>
      </c>
      <c r="W112">
        <f t="shared" si="11"/>
        <v>144</v>
      </c>
      <c r="X112">
        <f t="shared" si="12"/>
        <v>164</v>
      </c>
    </row>
    <row r="113" spans="1:24" x14ac:dyDescent="0.25">
      <c r="A113" t="str">
        <f t="shared" si="7"/>
        <v>2022_NSW_RankinsSprings_Lentil_SatelliteTOSTOS2VarietyBoltWaterTrtRainFed</v>
      </c>
      <c r="B113" t="s">
        <v>94</v>
      </c>
      <c r="C113" t="s">
        <v>95</v>
      </c>
      <c r="D113" t="s">
        <v>46</v>
      </c>
      <c r="E113" t="s">
        <v>58</v>
      </c>
      <c r="F113" t="s">
        <v>76</v>
      </c>
      <c r="G113" t="s">
        <v>165</v>
      </c>
      <c r="H113" t="s">
        <v>25</v>
      </c>
      <c r="J113">
        <v>2</v>
      </c>
      <c r="K113" s="1">
        <v>44721</v>
      </c>
      <c r="L113" s="1">
        <v>44735</v>
      </c>
      <c r="M113" s="1">
        <v>44818</v>
      </c>
      <c r="N113" s="1">
        <v>44821</v>
      </c>
      <c r="O113" s="1">
        <v>44855</v>
      </c>
      <c r="P113" s="1">
        <v>44878</v>
      </c>
      <c r="Q113" s="1">
        <v>44795</v>
      </c>
      <c r="R113" s="1">
        <v>44855</v>
      </c>
      <c r="T113">
        <f t="shared" si="8"/>
        <v>14</v>
      </c>
      <c r="U113">
        <f t="shared" si="9"/>
        <v>97</v>
      </c>
      <c r="V113">
        <f t="shared" si="10"/>
        <v>100</v>
      </c>
      <c r="W113">
        <f t="shared" si="11"/>
        <v>134</v>
      </c>
      <c r="X113">
        <f t="shared" si="12"/>
        <v>157</v>
      </c>
    </row>
    <row r="114" spans="1:24" x14ac:dyDescent="0.25">
      <c r="A114" t="str">
        <f t="shared" si="7"/>
        <v>2022_NSW_RankinsSprings_Lentil_SatelliteTOSTOS2VarietyGreenfieldWaterTrtRainFed</v>
      </c>
      <c r="B114" t="s">
        <v>94</v>
      </c>
      <c r="C114" t="s">
        <v>95</v>
      </c>
      <c r="D114" t="s">
        <v>46</v>
      </c>
      <c r="E114" t="s">
        <v>58</v>
      </c>
      <c r="F114" t="s">
        <v>76</v>
      </c>
      <c r="G114" t="s">
        <v>166</v>
      </c>
      <c r="H114" t="s">
        <v>25</v>
      </c>
      <c r="J114">
        <v>2</v>
      </c>
      <c r="K114" s="1">
        <v>44721</v>
      </c>
      <c r="L114" s="1">
        <v>44735</v>
      </c>
      <c r="M114" s="1">
        <v>44818</v>
      </c>
      <c r="N114" s="1">
        <v>44822</v>
      </c>
      <c r="O114" s="1">
        <v>44860</v>
      </c>
      <c r="P114" s="1">
        <v>44891</v>
      </c>
      <c r="Q114" s="1">
        <v>44797</v>
      </c>
      <c r="R114" s="1">
        <v>44855</v>
      </c>
      <c r="T114">
        <f t="shared" si="8"/>
        <v>14</v>
      </c>
      <c r="U114">
        <f t="shared" si="9"/>
        <v>97</v>
      </c>
      <c r="V114">
        <f t="shared" si="10"/>
        <v>101</v>
      </c>
      <c r="W114">
        <f t="shared" si="11"/>
        <v>139</v>
      </c>
      <c r="X114">
        <f t="shared" si="12"/>
        <v>170</v>
      </c>
    </row>
    <row r="115" spans="1:24" x14ac:dyDescent="0.25">
      <c r="A115" t="str">
        <f t="shared" si="7"/>
        <v>2022_NSW_RankinsSprings_Lentil_SatelliteTOSTOS2VarietyHallmarkXTWaterTrtRainFed</v>
      </c>
      <c r="B115" t="s">
        <v>94</v>
      </c>
      <c r="C115" t="s">
        <v>95</v>
      </c>
      <c r="D115" t="s">
        <v>46</v>
      </c>
      <c r="E115" t="s">
        <v>58</v>
      </c>
      <c r="F115" t="s">
        <v>76</v>
      </c>
      <c r="G115" t="s">
        <v>167</v>
      </c>
      <c r="H115" t="s">
        <v>25</v>
      </c>
      <c r="J115">
        <v>2</v>
      </c>
      <c r="K115" s="1">
        <v>44721</v>
      </c>
      <c r="L115" s="1">
        <v>44735</v>
      </c>
      <c r="M115" s="1">
        <v>44818</v>
      </c>
      <c r="N115" s="1">
        <v>44829</v>
      </c>
      <c r="O115" s="1">
        <v>44855</v>
      </c>
      <c r="P115" s="1">
        <v>44878</v>
      </c>
      <c r="Q115" s="1">
        <v>44805</v>
      </c>
      <c r="R115" s="1">
        <v>44861</v>
      </c>
      <c r="T115">
        <f t="shared" si="8"/>
        <v>14</v>
      </c>
      <c r="U115">
        <f t="shared" si="9"/>
        <v>97</v>
      </c>
      <c r="V115">
        <f t="shared" si="10"/>
        <v>108</v>
      </c>
      <c r="W115">
        <f t="shared" si="11"/>
        <v>134</v>
      </c>
      <c r="X115">
        <f t="shared" si="12"/>
        <v>157</v>
      </c>
    </row>
    <row r="116" spans="1:24" x14ac:dyDescent="0.25">
      <c r="A116" t="str">
        <f t="shared" si="7"/>
        <v>2022_NSW_RankinsSprings_Lentil_SatelliteTOSTOS2VarietyJumbo2WaterTrtRainFed</v>
      </c>
      <c r="B116" t="s">
        <v>94</v>
      </c>
      <c r="C116" t="s">
        <v>95</v>
      </c>
      <c r="D116" t="s">
        <v>46</v>
      </c>
      <c r="E116" t="s">
        <v>58</v>
      </c>
      <c r="F116" t="s">
        <v>76</v>
      </c>
      <c r="G116" t="s">
        <v>168</v>
      </c>
      <c r="H116" t="s">
        <v>25</v>
      </c>
      <c r="J116">
        <v>2</v>
      </c>
      <c r="K116" s="1">
        <v>44721</v>
      </c>
      <c r="L116" s="1">
        <v>44735</v>
      </c>
      <c r="M116" s="1">
        <v>44818</v>
      </c>
      <c r="N116" s="1">
        <v>44833</v>
      </c>
      <c r="O116" s="1">
        <v>44855</v>
      </c>
      <c r="P116" s="1">
        <v>44888</v>
      </c>
      <c r="Q116" s="1">
        <v>44810</v>
      </c>
      <c r="R116" s="1">
        <v>44864</v>
      </c>
      <c r="T116">
        <f t="shared" si="8"/>
        <v>14</v>
      </c>
      <c r="U116">
        <f t="shared" si="9"/>
        <v>97</v>
      </c>
      <c r="V116">
        <f t="shared" si="10"/>
        <v>112</v>
      </c>
      <c r="W116">
        <f t="shared" si="11"/>
        <v>134</v>
      </c>
      <c r="X116">
        <f t="shared" si="12"/>
        <v>167</v>
      </c>
    </row>
    <row r="117" spans="1:24" x14ac:dyDescent="0.25">
      <c r="A117" t="str">
        <f t="shared" si="7"/>
        <v>2022_NSW_RankinsSprings_Lentil_SatelliteTOSTOS2VarietyKelpieXTWaterTrtRainFed</v>
      </c>
      <c r="B117" t="s">
        <v>94</v>
      </c>
      <c r="C117" t="s">
        <v>95</v>
      </c>
      <c r="D117" t="s">
        <v>46</v>
      </c>
      <c r="E117" t="s">
        <v>58</v>
      </c>
      <c r="F117" t="s">
        <v>76</v>
      </c>
      <c r="G117" t="s">
        <v>169</v>
      </c>
      <c r="H117" t="s">
        <v>25</v>
      </c>
      <c r="J117">
        <v>2</v>
      </c>
      <c r="K117" s="1">
        <v>44721</v>
      </c>
      <c r="L117" s="1">
        <v>44735</v>
      </c>
      <c r="M117" s="1"/>
      <c r="N117" s="1">
        <v>44818</v>
      </c>
      <c r="O117" s="1">
        <v>44855</v>
      </c>
      <c r="P117" s="1">
        <v>44878</v>
      </c>
      <c r="Q117" s="1">
        <v>44792</v>
      </c>
      <c r="R117" s="1">
        <v>44853</v>
      </c>
      <c r="T117">
        <f t="shared" si="8"/>
        <v>14</v>
      </c>
      <c r="V117">
        <f t="shared" si="10"/>
        <v>97</v>
      </c>
      <c r="W117">
        <f t="shared" si="11"/>
        <v>134</v>
      </c>
      <c r="X117">
        <f t="shared" si="12"/>
        <v>157</v>
      </c>
    </row>
    <row r="118" spans="1:24" hidden="1" x14ac:dyDescent="0.25">
      <c r="B118" t="s">
        <v>82</v>
      </c>
      <c r="C118" t="s">
        <v>83</v>
      </c>
      <c r="D118" t="s">
        <v>38</v>
      </c>
      <c r="E118" t="s">
        <v>58</v>
      </c>
      <c r="F118" t="s">
        <v>84</v>
      </c>
      <c r="G118" t="s">
        <v>40</v>
      </c>
      <c r="H118" t="s">
        <v>25</v>
      </c>
      <c r="I118" t="s">
        <v>85</v>
      </c>
      <c r="J118">
        <v>1</v>
      </c>
      <c r="K118" s="1">
        <v>44662</v>
      </c>
      <c r="L118" s="1">
        <v>44668</v>
      </c>
      <c r="M118" s="1">
        <v>44742</v>
      </c>
      <c r="N118" s="1">
        <v>44756</v>
      </c>
      <c r="O118" s="1">
        <v>44785</v>
      </c>
      <c r="P118" s="1">
        <v>44869</v>
      </c>
      <c r="Q118" s="1">
        <v>44729</v>
      </c>
      <c r="R118" s="1">
        <v>44797</v>
      </c>
    </row>
    <row r="119" spans="1:24" hidden="1" x14ac:dyDescent="0.25">
      <c r="B119" t="s">
        <v>82</v>
      </c>
      <c r="C119" t="s">
        <v>83</v>
      </c>
      <c r="D119" t="s">
        <v>38</v>
      </c>
      <c r="E119" t="s">
        <v>58</v>
      </c>
      <c r="F119" t="s">
        <v>84</v>
      </c>
      <c r="G119" t="s">
        <v>40</v>
      </c>
      <c r="H119" t="s">
        <v>25</v>
      </c>
      <c r="I119" t="s">
        <v>86</v>
      </c>
      <c r="J119">
        <v>1</v>
      </c>
      <c r="K119" s="1">
        <v>44662</v>
      </c>
      <c r="L119" s="1">
        <v>44668</v>
      </c>
      <c r="M119" s="1">
        <v>44742</v>
      </c>
      <c r="N119" s="1">
        <v>44756</v>
      </c>
      <c r="O119" s="1">
        <v>44785</v>
      </c>
      <c r="P119" s="1">
        <v>44869</v>
      </c>
      <c r="Q119" s="1">
        <v>44729</v>
      </c>
      <c r="R119" s="1">
        <v>44797</v>
      </c>
    </row>
    <row r="120" spans="1:24" hidden="1" x14ac:dyDescent="0.25">
      <c r="B120" t="s">
        <v>82</v>
      </c>
      <c r="C120" t="s">
        <v>83</v>
      </c>
      <c r="D120" t="s">
        <v>38</v>
      </c>
      <c r="E120" t="s">
        <v>58</v>
      </c>
      <c r="F120" t="s">
        <v>84</v>
      </c>
      <c r="G120" t="s">
        <v>41</v>
      </c>
      <c r="H120" t="s">
        <v>25</v>
      </c>
      <c r="I120" t="s">
        <v>85</v>
      </c>
      <c r="J120">
        <v>1</v>
      </c>
      <c r="K120" s="1">
        <v>44662</v>
      </c>
      <c r="L120" s="1">
        <v>44668</v>
      </c>
      <c r="M120" s="1">
        <v>44722</v>
      </c>
      <c r="N120" s="1">
        <v>44739</v>
      </c>
      <c r="O120" s="1">
        <v>44773</v>
      </c>
      <c r="P120" s="1">
        <v>44865</v>
      </c>
      <c r="Q120" s="1">
        <v>44715</v>
      </c>
      <c r="R120" s="1">
        <v>44783</v>
      </c>
    </row>
    <row r="121" spans="1:24" hidden="1" x14ac:dyDescent="0.25">
      <c r="B121" t="s">
        <v>82</v>
      </c>
      <c r="C121" t="s">
        <v>83</v>
      </c>
      <c r="D121" t="s">
        <v>38</v>
      </c>
      <c r="E121" t="s">
        <v>58</v>
      </c>
      <c r="F121" t="s">
        <v>84</v>
      </c>
      <c r="G121" t="s">
        <v>41</v>
      </c>
      <c r="H121" t="s">
        <v>25</v>
      </c>
      <c r="I121" t="s">
        <v>86</v>
      </c>
      <c r="J121">
        <v>1</v>
      </c>
      <c r="K121" s="1">
        <v>44662</v>
      </c>
      <c r="L121" s="1">
        <v>44668</v>
      </c>
      <c r="M121" s="1">
        <v>44722</v>
      </c>
      <c r="N121" s="1">
        <v>44739</v>
      </c>
      <c r="O121" s="1">
        <v>44773</v>
      </c>
      <c r="P121" s="1">
        <v>44865</v>
      </c>
      <c r="Q121" s="1">
        <v>44715</v>
      </c>
      <c r="R121" s="1">
        <v>44783</v>
      </c>
    </row>
    <row r="122" spans="1:24" hidden="1" x14ac:dyDescent="0.25">
      <c r="B122" t="s">
        <v>82</v>
      </c>
      <c r="C122" t="s">
        <v>83</v>
      </c>
      <c r="D122" t="s">
        <v>38</v>
      </c>
      <c r="E122" t="s">
        <v>58</v>
      </c>
      <c r="F122" t="s">
        <v>84</v>
      </c>
      <c r="G122" t="s">
        <v>42</v>
      </c>
      <c r="H122" t="s">
        <v>25</v>
      </c>
      <c r="I122" t="s">
        <v>85</v>
      </c>
      <c r="J122">
        <v>1</v>
      </c>
      <c r="K122" s="1">
        <v>44662</v>
      </c>
      <c r="L122" s="1">
        <v>44668</v>
      </c>
      <c r="M122" s="1">
        <v>44722</v>
      </c>
      <c r="N122" s="1">
        <v>44736</v>
      </c>
      <c r="O122" s="1">
        <v>44764</v>
      </c>
      <c r="P122" s="1">
        <v>44844</v>
      </c>
      <c r="Q122" s="1">
        <v>44713</v>
      </c>
      <c r="R122" s="1">
        <v>44781</v>
      </c>
    </row>
    <row r="123" spans="1:24" hidden="1" x14ac:dyDescent="0.25">
      <c r="B123" t="s">
        <v>82</v>
      </c>
      <c r="C123" t="s">
        <v>83</v>
      </c>
      <c r="D123" t="s">
        <v>38</v>
      </c>
      <c r="E123" t="s">
        <v>58</v>
      </c>
      <c r="F123" t="s">
        <v>84</v>
      </c>
      <c r="G123" t="s">
        <v>43</v>
      </c>
      <c r="H123" t="s">
        <v>25</v>
      </c>
      <c r="I123" t="s">
        <v>85</v>
      </c>
      <c r="J123">
        <v>1</v>
      </c>
      <c r="K123" s="1">
        <v>44662</v>
      </c>
      <c r="L123" s="1">
        <v>44668</v>
      </c>
      <c r="M123" s="1">
        <v>44742</v>
      </c>
      <c r="N123" s="1">
        <v>44752</v>
      </c>
      <c r="O123" s="1">
        <v>44792</v>
      </c>
      <c r="P123" s="1">
        <v>44869</v>
      </c>
      <c r="Q123" s="1">
        <v>44726</v>
      </c>
      <c r="R123" s="1">
        <v>44794</v>
      </c>
    </row>
    <row r="124" spans="1:24" hidden="1" x14ac:dyDescent="0.25">
      <c r="B124" t="s">
        <v>82</v>
      </c>
      <c r="C124" t="s">
        <v>83</v>
      </c>
      <c r="D124" t="s">
        <v>38</v>
      </c>
      <c r="E124" t="s">
        <v>58</v>
      </c>
      <c r="F124" t="s">
        <v>84</v>
      </c>
      <c r="G124" t="s">
        <v>40</v>
      </c>
      <c r="H124" t="s">
        <v>25</v>
      </c>
      <c r="I124" t="s">
        <v>85</v>
      </c>
      <c r="J124">
        <v>2</v>
      </c>
      <c r="K124" s="1">
        <v>44692</v>
      </c>
      <c r="L124" s="1">
        <v>44700</v>
      </c>
      <c r="M124" s="1">
        <v>44762</v>
      </c>
      <c r="N124" s="1">
        <v>44780</v>
      </c>
      <c r="O124" s="1">
        <v>44814</v>
      </c>
      <c r="P124" s="1">
        <v>44869</v>
      </c>
      <c r="Q124" s="1">
        <v>44756</v>
      </c>
      <c r="R124" s="1">
        <v>44819</v>
      </c>
    </row>
    <row r="125" spans="1:24" hidden="1" x14ac:dyDescent="0.25">
      <c r="B125" t="s">
        <v>82</v>
      </c>
      <c r="C125" t="s">
        <v>83</v>
      </c>
      <c r="D125" t="s">
        <v>38</v>
      </c>
      <c r="E125" t="s">
        <v>58</v>
      </c>
      <c r="F125" t="s">
        <v>84</v>
      </c>
      <c r="G125" t="s">
        <v>40</v>
      </c>
      <c r="H125" t="s">
        <v>25</v>
      </c>
      <c r="I125" t="s">
        <v>86</v>
      </c>
      <c r="J125">
        <v>2</v>
      </c>
      <c r="K125" s="1">
        <v>44692</v>
      </c>
      <c r="L125" s="1">
        <v>44700</v>
      </c>
      <c r="M125" s="1">
        <v>44762</v>
      </c>
      <c r="N125" s="1">
        <v>44780</v>
      </c>
      <c r="O125" s="1">
        <v>44814</v>
      </c>
      <c r="P125" s="1">
        <v>44869</v>
      </c>
      <c r="Q125" s="1">
        <v>44756</v>
      </c>
      <c r="R125" s="1">
        <v>44819</v>
      </c>
    </row>
    <row r="126" spans="1:24" hidden="1" x14ac:dyDescent="0.25">
      <c r="B126" t="s">
        <v>82</v>
      </c>
      <c r="C126" t="s">
        <v>83</v>
      </c>
      <c r="D126" t="s">
        <v>38</v>
      </c>
      <c r="E126" t="s">
        <v>58</v>
      </c>
      <c r="F126" t="s">
        <v>84</v>
      </c>
      <c r="G126" t="s">
        <v>41</v>
      </c>
      <c r="H126" t="s">
        <v>25</v>
      </c>
      <c r="I126" t="s">
        <v>86</v>
      </c>
      <c r="J126">
        <v>2</v>
      </c>
      <c r="K126" s="1">
        <v>44692</v>
      </c>
      <c r="L126" s="1">
        <v>44700</v>
      </c>
      <c r="M126" s="1">
        <v>44762</v>
      </c>
      <c r="N126" s="1">
        <v>44772</v>
      </c>
      <c r="O126" s="1">
        <v>44792</v>
      </c>
      <c r="P126" s="1">
        <v>44869</v>
      </c>
      <c r="Q126" s="1">
        <v>44744</v>
      </c>
      <c r="R126" s="1">
        <v>44811</v>
      </c>
    </row>
    <row r="127" spans="1:24" hidden="1" x14ac:dyDescent="0.25">
      <c r="B127" t="s">
        <v>82</v>
      </c>
      <c r="C127" t="s">
        <v>83</v>
      </c>
      <c r="D127" t="s">
        <v>38</v>
      </c>
      <c r="E127" t="s">
        <v>58</v>
      </c>
      <c r="F127" t="s">
        <v>84</v>
      </c>
      <c r="G127" t="s">
        <v>41</v>
      </c>
      <c r="H127" t="s">
        <v>25</v>
      </c>
      <c r="I127" t="s">
        <v>85</v>
      </c>
      <c r="J127">
        <v>2</v>
      </c>
      <c r="K127" s="1">
        <v>44692</v>
      </c>
      <c r="L127" s="1">
        <v>44700</v>
      </c>
      <c r="M127" s="1">
        <v>44762</v>
      </c>
      <c r="N127" s="1">
        <v>44772</v>
      </c>
      <c r="O127" s="1">
        <v>44792</v>
      </c>
      <c r="P127" s="1">
        <v>44869</v>
      </c>
      <c r="Q127" s="1">
        <v>44744</v>
      </c>
      <c r="R127" s="1">
        <v>44811</v>
      </c>
    </row>
    <row r="128" spans="1:24" hidden="1" x14ac:dyDescent="0.25">
      <c r="B128" t="s">
        <v>82</v>
      </c>
      <c r="C128" t="s">
        <v>83</v>
      </c>
      <c r="D128" t="s">
        <v>38</v>
      </c>
      <c r="E128" t="s">
        <v>58</v>
      </c>
      <c r="F128" t="s">
        <v>84</v>
      </c>
      <c r="G128" t="s">
        <v>42</v>
      </c>
      <c r="H128" t="s">
        <v>25</v>
      </c>
      <c r="I128" t="s">
        <v>85</v>
      </c>
      <c r="J128">
        <v>2</v>
      </c>
      <c r="K128" s="1">
        <v>44692</v>
      </c>
      <c r="L128" s="1">
        <v>44700</v>
      </c>
      <c r="M128" s="1"/>
      <c r="N128" s="1">
        <v>44770</v>
      </c>
      <c r="O128" s="1">
        <v>44784</v>
      </c>
      <c r="P128" s="1">
        <v>44869</v>
      </c>
      <c r="Q128" s="1">
        <v>44742</v>
      </c>
      <c r="R128" s="1">
        <v>44810</v>
      </c>
    </row>
    <row r="129" spans="1:24" hidden="1" x14ac:dyDescent="0.25">
      <c r="B129" t="s">
        <v>82</v>
      </c>
      <c r="C129" t="s">
        <v>83</v>
      </c>
      <c r="D129" t="s">
        <v>38</v>
      </c>
      <c r="E129" t="s">
        <v>58</v>
      </c>
      <c r="F129" t="s">
        <v>84</v>
      </c>
      <c r="G129" t="s">
        <v>43</v>
      </c>
      <c r="H129" t="s">
        <v>25</v>
      </c>
      <c r="I129" t="s">
        <v>85</v>
      </c>
      <c r="J129">
        <v>2</v>
      </c>
      <c r="K129" s="1">
        <v>44692</v>
      </c>
      <c r="L129" s="1">
        <v>44700</v>
      </c>
      <c r="M129" s="1">
        <v>44762</v>
      </c>
      <c r="N129" s="1">
        <v>44779</v>
      </c>
      <c r="O129" s="1">
        <v>44818</v>
      </c>
      <c r="P129" s="1">
        <v>44869</v>
      </c>
      <c r="Q129" s="1">
        <v>44754</v>
      </c>
      <c r="R129" s="1">
        <v>44818</v>
      </c>
    </row>
    <row r="130" spans="1:24" x14ac:dyDescent="0.25">
      <c r="A130" t="str">
        <f t="shared" ref="A130:A133" si="13">C130&amp;"TOSTOS"&amp;J130&amp;"Variety"&amp;G130&amp;"WaterTrt"&amp;H130&amp;IF(I130="","","Agronomy"&amp;I130)</f>
        <v>2022_SA_Warnertown_Lentil_SatelliteTOSTOS1VarietyBoltWaterTrtRainFedAgronomyDensity_0.66</v>
      </c>
      <c r="B130" t="s">
        <v>96</v>
      </c>
      <c r="C130" t="s">
        <v>97</v>
      </c>
      <c r="D130" t="s">
        <v>46</v>
      </c>
      <c r="E130" t="s">
        <v>58</v>
      </c>
      <c r="F130" t="s">
        <v>84</v>
      </c>
      <c r="G130" t="s">
        <v>165</v>
      </c>
      <c r="H130" t="s">
        <v>25</v>
      </c>
      <c r="I130" t="s">
        <v>86</v>
      </c>
      <c r="J130">
        <v>1</v>
      </c>
      <c r="K130" s="1">
        <v>44662</v>
      </c>
      <c r="L130" s="1">
        <v>44669</v>
      </c>
      <c r="M130" s="1">
        <v>44723</v>
      </c>
      <c r="N130" s="1">
        <v>44765</v>
      </c>
      <c r="O130" s="1">
        <v>44782</v>
      </c>
      <c r="P130" s="1">
        <v>44844</v>
      </c>
      <c r="Q130" s="1">
        <v>44737</v>
      </c>
      <c r="R130" s="1">
        <v>44804</v>
      </c>
      <c r="T130">
        <f t="shared" ref="T130:T133" si="14">L130-$K130</f>
        <v>7</v>
      </c>
      <c r="U130">
        <f t="shared" ref="U130:U133" si="15">M130-$K130</f>
        <v>61</v>
      </c>
      <c r="V130">
        <f t="shared" ref="V130:V133" si="16">N130-$K130</f>
        <v>103</v>
      </c>
      <c r="W130">
        <f t="shared" ref="W130:W133" si="17">O130-$K130</f>
        <v>120</v>
      </c>
      <c r="X130">
        <f t="shared" ref="X130:X133" si="18">P130-$K130</f>
        <v>182</v>
      </c>
    </row>
    <row r="131" spans="1:24" x14ac:dyDescent="0.25">
      <c r="A131" t="str">
        <f t="shared" si="13"/>
        <v>2022_SA_Warnertown_Lentil_SatelliteTOSTOS1VarietyBoltWaterTrtRainFedAgronomyDensity_1</v>
      </c>
      <c r="B131" t="s">
        <v>96</v>
      </c>
      <c r="C131" t="s">
        <v>97</v>
      </c>
      <c r="D131" t="s">
        <v>46</v>
      </c>
      <c r="E131" t="s">
        <v>58</v>
      </c>
      <c r="F131" t="s">
        <v>84</v>
      </c>
      <c r="G131" t="s">
        <v>165</v>
      </c>
      <c r="H131" t="s">
        <v>25</v>
      </c>
      <c r="I131" t="s">
        <v>85</v>
      </c>
      <c r="J131">
        <v>1</v>
      </c>
      <c r="K131" s="1">
        <v>44662</v>
      </c>
      <c r="L131" s="1">
        <v>44669</v>
      </c>
      <c r="M131" s="1">
        <v>44723</v>
      </c>
      <c r="N131" s="1">
        <v>44765</v>
      </c>
      <c r="O131" s="1">
        <v>44782</v>
      </c>
      <c r="P131" s="1">
        <v>44844</v>
      </c>
      <c r="Q131" s="1">
        <v>44737</v>
      </c>
      <c r="R131" s="1">
        <v>44804</v>
      </c>
      <c r="T131">
        <f t="shared" si="14"/>
        <v>7</v>
      </c>
      <c r="U131">
        <f t="shared" si="15"/>
        <v>61</v>
      </c>
      <c r="V131">
        <f t="shared" si="16"/>
        <v>103</v>
      </c>
      <c r="W131">
        <f t="shared" si="17"/>
        <v>120</v>
      </c>
      <c r="X131">
        <f t="shared" si="18"/>
        <v>182</v>
      </c>
    </row>
    <row r="132" spans="1:24" x14ac:dyDescent="0.25">
      <c r="A132" t="str">
        <f t="shared" si="13"/>
        <v>2022_SA_Warnertown_Lentil_SatelliteTOSTOS1VarietyHallmarkXTWaterTrtRainFedAgronomyDensity_1</v>
      </c>
      <c r="B132" t="s">
        <v>96</v>
      </c>
      <c r="C132" t="s">
        <v>97</v>
      </c>
      <c r="D132" t="s">
        <v>46</v>
      </c>
      <c r="E132" t="s">
        <v>58</v>
      </c>
      <c r="F132" t="s">
        <v>84</v>
      </c>
      <c r="G132" t="s">
        <v>167</v>
      </c>
      <c r="H132" t="s">
        <v>25</v>
      </c>
      <c r="I132" t="s">
        <v>85</v>
      </c>
      <c r="J132">
        <v>1</v>
      </c>
      <c r="K132" s="1">
        <v>44662</v>
      </c>
      <c r="L132" s="1">
        <v>44669</v>
      </c>
      <c r="M132" s="1">
        <v>44722</v>
      </c>
      <c r="N132" s="1">
        <v>44770</v>
      </c>
      <c r="O132" s="1">
        <v>44782</v>
      </c>
      <c r="P132" s="1">
        <v>44844</v>
      </c>
      <c r="Q132" s="1">
        <v>44742</v>
      </c>
      <c r="R132" s="1">
        <v>44810</v>
      </c>
      <c r="T132">
        <f t="shared" si="14"/>
        <v>7</v>
      </c>
      <c r="U132">
        <f t="shared" si="15"/>
        <v>60</v>
      </c>
      <c r="V132">
        <f t="shared" si="16"/>
        <v>108</v>
      </c>
      <c r="W132">
        <f t="shared" si="17"/>
        <v>120</v>
      </c>
      <c r="X132">
        <f t="shared" si="18"/>
        <v>182</v>
      </c>
    </row>
    <row r="133" spans="1:24" x14ac:dyDescent="0.25">
      <c r="A133" t="str">
        <f t="shared" si="13"/>
        <v>2022_SA_Warnertown_Lentil_SatelliteTOSTOS1VarietyJumbo2WaterTrtRainFedAgronomyDensity_0.66</v>
      </c>
      <c r="B133" t="s">
        <v>96</v>
      </c>
      <c r="C133" t="s">
        <v>97</v>
      </c>
      <c r="D133" t="s">
        <v>46</v>
      </c>
      <c r="E133" t="s">
        <v>58</v>
      </c>
      <c r="F133" t="s">
        <v>84</v>
      </c>
      <c r="G133" t="s">
        <v>168</v>
      </c>
      <c r="H133" t="s">
        <v>25</v>
      </c>
      <c r="I133" t="s">
        <v>86</v>
      </c>
      <c r="J133">
        <v>1</v>
      </c>
      <c r="K133" s="1">
        <v>44662</v>
      </c>
      <c r="L133" s="1">
        <v>44669</v>
      </c>
      <c r="M133" s="1">
        <v>44722</v>
      </c>
      <c r="N133" s="1">
        <v>44768</v>
      </c>
      <c r="O133" s="1">
        <v>44782</v>
      </c>
      <c r="P133" s="1">
        <v>44844</v>
      </c>
      <c r="Q133" s="1">
        <v>44740</v>
      </c>
      <c r="R133" s="1">
        <v>44808</v>
      </c>
      <c r="T133">
        <f t="shared" si="14"/>
        <v>7</v>
      </c>
      <c r="U133">
        <f t="shared" si="15"/>
        <v>60</v>
      </c>
      <c r="V133">
        <f t="shared" si="16"/>
        <v>106</v>
      </c>
      <c r="W133">
        <f t="shared" si="17"/>
        <v>120</v>
      </c>
      <c r="X133">
        <f t="shared" si="18"/>
        <v>182</v>
      </c>
    </row>
    <row r="134" spans="1:24" hidden="1" x14ac:dyDescent="0.25">
      <c r="B134" t="s">
        <v>79</v>
      </c>
      <c r="C134" t="s">
        <v>80</v>
      </c>
      <c r="D134" t="s">
        <v>20</v>
      </c>
      <c r="E134" t="s">
        <v>58</v>
      </c>
      <c r="F134" t="s">
        <v>81</v>
      </c>
      <c r="G134" t="s">
        <v>23</v>
      </c>
      <c r="H134" t="s">
        <v>25</v>
      </c>
      <c r="J134">
        <v>1</v>
      </c>
      <c r="K134" s="1">
        <v>44741</v>
      </c>
      <c r="L134" s="1">
        <v>44759</v>
      </c>
      <c r="M134" s="1" t="e">
        <v>#NUM!</v>
      </c>
      <c r="N134" s="1" t="e">
        <v>#NUM!</v>
      </c>
      <c r="O134" s="1" t="e">
        <v>#NUM!</v>
      </c>
      <c r="P134" s="1" t="e">
        <v>#NUM!</v>
      </c>
      <c r="Q134" s="1" t="e">
        <v>#NUM!</v>
      </c>
      <c r="R134" s="1" t="e">
        <v>#NUM!</v>
      </c>
      <c r="S134" t="s">
        <v>32</v>
      </c>
    </row>
    <row r="135" spans="1:24" hidden="1" x14ac:dyDescent="0.25">
      <c r="B135" t="s">
        <v>79</v>
      </c>
      <c r="C135" t="s">
        <v>80</v>
      </c>
      <c r="D135" t="s">
        <v>20</v>
      </c>
      <c r="E135" t="s">
        <v>58</v>
      </c>
      <c r="F135" t="s">
        <v>81</v>
      </c>
      <c r="G135" t="s">
        <v>23</v>
      </c>
      <c r="H135" t="s">
        <v>25</v>
      </c>
      <c r="J135">
        <v>2</v>
      </c>
      <c r="K135" s="1">
        <v>44760</v>
      </c>
      <c r="L135" s="1">
        <v>44773</v>
      </c>
      <c r="M135" s="1" t="e">
        <v>#NUM!</v>
      </c>
      <c r="N135" s="1" t="e">
        <v>#NUM!</v>
      </c>
      <c r="O135" s="1" t="e">
        <v>#NUM!</v>
      </c>
      <c r="P135" s="1" t="e">
        <v>#NUM!</v>
      </c>
      <c r="Q135" s="1" t="e">
        <v>#NUM!</v>
      </c>
      <c r="R135" s="1" t="e">
        <v>#NUM!</v>
      </c>
      <c r="S135" t="s">
        <v>32</v>
      </c>
    </row>
    <row r="136" spans="1:24" hidden="1" x14ac:dyDescent="0.25">
      <c r="B136" t="s">
        <v>79</v>
      </c>
      <c r="C136" t="s">
        <v>80</v>
      </c>
      <c r="D136" t="s">
        <v>20</v>
      </c>
      <c r="E136" t="s">
        <v>58</v>
      </c>
      <c r="F136" t="s">
        <v>81</v>
      </c>
      <c r="G136" t="s">
        <v>26</v>
      </c>
      <c r="H136" t="s">
        <v>25</v>
      </c>
      <c r="J136">
        <v>1</v>
      </c>
      <c r="K136" s="1">
        <v>44741</v>
      </c>
      <c r="L136" s="1">
        <v>44759</v>
      </c>
      <c r="M136" s="1" t="e">
        <v>#NUM!</v>
      </c>
      <c r="N136" s="1" t="e">
        <v>#NUM!</v>
      </c>
      <c r="O136" s="1" t="e">
        <v>#NUM!</v>
      </c>
      <c r="P136" s="1" t="e">
        <v>#NUM!</v>
      </c>
      <c r="Q136" s="1" t="e">
        <v>#NUM!</v>
      </c>
      <c r="R136" s="1" t="e">
        <v>#NUM!</v>
      </c>
      <c r="S136" t="s">
        <v>32</v>
      </c>
    </row>
    <row r="137" spans="1:24" hidden="1" x14ac:dyDescent="0.25">
      <c r="B137" t="s">
        <v>79</v>
      </c>
      <c r="C137" t="s">
        <v>80</v>
      </c>
      <c r="D137" t="s">
        <v>20</v>
      </c>
      <c r="E137" t="s">
        <v>58</v>
      </c>
      <c r="F137" t="s">
        <v>81</v>
      </c>
      <c r="G137" t="s">
        <v>26</v>
      </c>
      <c r="H137" t="s">
        <v>25</v>
      </c>
      <c r="J137">
        <v>2</v>
      </c>
      <c r="K137" s="1">
        <v>44760</v>
      </c>
      <c r="L137" s="1">
        <v>44773</v>
      </c>
      <c r="M137" s="1" t="e">
        <v>#NUM!</v>
      </c>
      <c r="N137" s="1" t="e">
        <v>#NUM!</v>
      </c>
      <c r="O137" s="1" t="e">
        <v>#NUM!</v>
      </c>
      <c r="P137" s="1" t="e">
        <v>#NUM!</v>
      </c>
      <c r="Q137" s="1" t="e">
        <v>#NUM!</v>
      </c>
      <c r="R137" s="1" t="e">
        <v>#NUM!</v>
      </c>
      <c r="S137" t="s">
        <v>32</v>
      </c>
    </row>
    <row r="138" spans="1:24" hidden="1" x14ac:dyDescent="0.25">
      <c r="B138" t="s">
        <v>79</v>
      </c>
      <c r="C138" t="s">
        <v>80</v>
      </c>
      <c r="D138" t="s">
        <v>20</v>
      </c>
      <c r="E138" t="s">
        <v>58</v>
      </c>
      <c r="F138" t="s">
        <v>81</v>
      </c>
      <c r="G138" t="s">
        <v>27</v>
      </c>
      <c r="H138" t="s">
        <v>25</v>
      </c>
      <c r="J138">
        <v>1</v>
      </c>
      <c r="K138" s="1">
        <v>44741</v>
      </c>
      <c r="L138" s="1">
        <v>44759</v>
      </c>
      <c r="M138" s="1" t="e">
        <v>#NUM!</v>
      </c>
      <c r="N138" s="1" t="e">
        <v>#NUM!</v>
      </c>
      <c r="O138" s="1" t="e">
        <v>#NUM!</v>
      </c>
      <c r="P138" s="1" t="e">
        <v>#NUM!</v>
      </c>
      <c r="Q138" s="1" t="e">
        <v>#NUM!</v>
      </c>
      <c r="R138" s="1" t="e">
        <v>#NUM!</v>
      </c>
      <c r="S138" t="s">
        <v>32</v>
      </c>
    </row>
    <row r="139" spans="1:24" hidden="1" x14ac:dyDescent="0.25">
      <c r="B139" t="s">
        <v>79</v>
      </c>
      <c r="C139" t="s">
        <v>80</v>
      </c>
      <c r="D139" t="s">
        <v>20</v>
      </c>
      <c r="E139" t="s">
        <v>58</v>
      </c>
      <c r="F139" t="s">
        <v>81</v>
      </c>
      <c r="G139" t="s">
        <v>27</v>
      </c>
      <c r="H139" t="s">
        <v>25</v>
      </c>
      <c r="J139">
        <v>2</v>
      </c>
      <c r="K139" s="1">
        <v>44760</v>
      </c>
      <c r="L139" s="1">
        <v>44773</v>
      </c>
      <c r="M139" s="1" t="e">
        <v>#NUM!</v>
      </c>
      <c r="N139" s="1" t="e">
        <v>#NUM!</v>
      </c>
      <c r="O139" s="1" t="e">
        <v>#NUM!</v>
      </c>
      <c r="P139" s="1" t="e">
        <v>#NUM!</v>
      </c>
      <c r="Q139" s="1" t="e">
        <v>#NUM!</v>
      </c>
      <c r="R139" s="1" t="e">
        <v>#NUM!</v>
      </c>
      <c r="S139" t="s">
        <v>32</v>
      </c>
    </row>
    <row r="140" spans="1:24" hidden="1" x14ac:dyDescent="0.25">
      <c r="B140" t="s">
        <v>79</v>
      </c>
      <c r="C140" t="s">
        <v>80</v>
      </c>
      <c r="D140" t="s">
        <v>20</v>
      </c>
      <c r="E140" t="s">
        <v>58</v>
      </c>
      <c r="F140" t="s">
        <v>81</v>
      </c>
      <c r="G140" t="s">
        <v>28</v>
      </c>
      <c r="H140" t="s">
        <v>25</v>
      </c>
      <c r="J140">
        <v>1</v>
      </c>
      <c r="K140" s="1">
        <v>44741</v>
      </c>
      <c r="L140" s="1">
        <v>44759</v>
      </c>
      <c r="M140" s="1" t="e">
        <v>#NUM!</v>
      </c>
      <c r="N140" s="1" t="e">
        <v>#NUM!</v>
      </c>
      <c r="O140" s="1" t="e">
        <v>#NUM!</v>
      </c>
      <c r="P140" s="1" t="e">
        <v>#NUM!</v>
      </c>
      <c r="Q140" s="1" t="e">
        <v>#NUM!</v>
      </c>
      <c r="R140" s="1" t="e">
        <v>#NUM!</v>
      </c>
      <c r="S140" t="s">
        <v>32</v>
      </c>
    </row>
    <row r="141" spans="1:24" hidden="1" x14ac:dyDescent="0.25">
      <c r="B141" t="s">
        <v>79</v>
      </c>
      <c r="C141" t="s">
        <v>80</v>
      </c>
      <c r="D141" t="s">
        <v>20</v>
      </c>
      <c r="E141" t="s">
        <v>58</v>
      </c>
      <c r="F141" t="s">
        <v>81</v>
      </c>
      <c r="G141" t="s">
        <v>28</v>
      </c>
      <c r="H141" t="s">
        <v>25</v>
      </c>
      <c r="J141">
        <v>2</v>
      </c>
      <c r="K141" s="1">
        <v>44760</v>
      </c>
      <c r="L141" s="1">
        <v>44773</v>
      </c>
      <c r="M141" s="1" t="e">
        <v>#NUM!</v>
      </c>
      <c r="N141" s="1" t="e">
        <v>#NUM!</v>
      </c>
      <c r="O141" s="1" t="e">
        <v>#NUM!</v>
      </c>
      <c r="P141" s="1" t="e">
        <v>#NUM!</v>
      </c>
      <c r="Q141" s="1" t="e">
        <v>#NUM!</v>
      </c>
      <c r="R141" s="1" t="e">
        <v>#NUM!</v>
      </c>
      <c r="S141" t="s">
        <v>32</v>
      </c>
    </row>
    <row r="142" spans="1:24" x14ac:dyDescent="0.25">
      <c r="A142" t="str">
        <f t="shared" ref="A142:A149" si="19">C142&amp;"TOSTOS"&amp;J142&amp;"Variety"&amp;G142&amp;"WaterTrt"&amp;H142&amp;IF(I142="","","Agronomy"&amp;I142)</f>
        <v>2022_SA_Warnertown_Lentil_SatelliteTOSTOS1VarietyJumbo2WaterTrtRainFedAgronomyDensity_1</v>
      </c>
      <c r="B142" t="s">
        <v>96</v>
      </c>
      <c r="C142" t="s">
        <v>97</v>
      </c>
      <c r="D142" t="s">
        <v>46</v>
      </c>
      <c r="E142" t="s">
        <v>58</v>
      </c>
      <c r="F142" t="s">
        <v>84</v>
      </c>
      <c r="G142" t="s">
        <v>168</v>
      </c>
      <c r="H142" t="s">
        <v>25</v>
      </c>
      <c r="I142" t="s">
        <v>85</v>
      </c>
      <c r="J142">
        <v>1</v>
      </c>
      <c r="K142" s="1">
        <v>44662</v>
      </c>
      <c r="L142" s="1">
        <v>44669</v>
      </c>
      <c r="M142" s="1">
        <v>44722</v>
      </c>
      <c r="N142" s="1">
        <v>44768</v>
      </c>
      <c r="O142" s="1">
        <v>44782</v>
      </c>
      <c r="P142" s="1">
        <v>44844</v>
      </c>
      <c r="Q142" s="1">
        <v>44740</v>
      </c>
      <c r="R142" s="1">
        <v>44808</v>
      </c>
      <c r="T142">
        <f t="shared" ref="T142:T149" si="20">L142-$K142</f>
        <v>7</v>
      </c>
      <c r="U142">
        <f t="shared" ref="U142:U149" si="21">M142-$K142</f>
        <v>60</v>
      </c>
      <c r="V142">
        <f t="shared" ref="V142:V149" si="22">N142-$K142</f>
        <v>106</v>
      </c>
      <c r="W142">
        <f t="shared" ref="W142:W149" si="23">O142-$K142</f>
        <v>120</v>
      </c>
      <c r="X142">
        <f t="shared" ref="X142:X149" si="24">P142-$K142</f>
        <v>182</v>
      </c>
    </row>
    <row r="143" spans="1:24" x14ac:dyDescent="0.25">
      <c r="A143" t="str">
        <f t="shared" si="19"/>
        <v>2022_SA_Warnertown_Lentil_SatelliteTOSTOS1VarietyKelpieXTWaterTrtRainFedAgronomyDensity_1</v>
      </c>
      <c r="B143" t="s">
        <v>96</v>
      </c>
      <c r="C143" t="s">
        <v>97</v>
      </c>
      <c r="D143" t="s">
        <v>46</v>
      </c>
      <c r="E143" t="s">
        <v>58</v>
      </c>
      <c r="F143" t="s">
        <v>84</v>
      </c>
      <c r="G143" t="s">
        <v>169</v>
      </c>
      <c r="H143" t="s">
        <v>25</v>
      </c>
      <c r="I143" t="s">
        <v>85</v>
      </c>
      <c r="J143">
        <v>1</v>
      </c>
      <c r="K143" s="1">
        <v>44662</v>
      </c>
      <c r="L143" s="1">
        <v>44669</v>
      </c>
      <c r="M143" s="1">
        <v>44722</v>
      </c>
      <c r="N143" s="1">
        <v>44753</v>
      </c>
      <c r="O143" s="1">
        <v>44782</v>
      </c>
      <c r="P143" s="1">
        <v>44844</v>
      </c>
      <c r="Q143" s="1">
        <v>44727</v>
      </c>
      <c r="R143" s="1">
        <v>44794</v>
      </c>
      <c r="T143">
        <f t="shared" si="20"/>
        <v>7</v>
      </c>
      <c r="U143">
        <f t="shared" si="21"/>
        <v>60</v>
      </c>
      <c r="V143">
        <f t="shared" si="22"/>
        <v>91</v>
      </c>
      <c r="W143">
        <f t="shared" si="23"/>
        <v>120</v>
      </c>
      <c r="X143">
        <f t="shared" si="24"/>
        <v>182</v>
      </c>
    </row>
    <row r="144" spans="1:24" x14ac:dyDescent="0.25">
      <c r="A144" t="str">
        <f t="shared" si="19"/>
        <v>2022_SA_Warnertown_Lentil_SatelliteTOSTOS2VarietyBoltWaterTrtRainFedAgronomyDensity_0.66</v>
      </c>
      <c r="B144" t="s">
        <v>96</v>
      </c>
      <c r="C144" t="s">
        <v>97</v>
      </c>
      <c r="D144" t="s">
        <v>46</v>
      </c>
      <c r="E144" t="s">
        <v>58</v>
      </c>
      <c r="F144" t="s">
        <v>84</v>
      </c>
      <c r="G144" t="s">
        <v>165</v>
      </c>
      <c r="H144" t="s">
        <v>25</v>
      </c>
      <c r="I144" t="s">
        <v>86</v>
      </c>
      <c r="J144">
        <v>2</v>
      </c>
      <c r="K144" s="1">
        <v>44692</v>
      </c>
      <c r="L144" s="1">
        <v>44707</v>
      </c>
      <c r="M144" s="1">
        <v>44780</v>
      </c>
      <c r="N144" s="1">
        <v>44782</v>
      </c>
      <c r="O144" s="1">
        <v>44801</v>
      </c>
      <c r="P144" s="1">
        <v>44869</v>
      </c>
      <c r="Q144" s="1">
        <v>44758</v>
      </c>
      <c r="R144" s="1">
        <v>44820</v>
      </c>
      <c r="T144">
        <f t="shared" si="20"/>
        <v>15</v>
      </c>
      <c r="U144">
        <f t="shared" si="21"/>
        <v>88</v>
      </c>
      <c r="V144">
        <f t="shared" si="22"/>
        <v>90</v>
      </c>
      <c r="W144">
        <f t="shared" si="23"/>
        <v>109</v>
      </c>
      <c r="X144">
        <f t="shared" si="24"/>
        <v>177</v>
      </c>
    </row>
    <row r="145" spans="1:24" x14ac:dyDescent="0.25">
      <c r="A145" t="str">
        <f t="shared" si="19"/>
        <v>2022_SA_Warnertown_Lentil_SatelliteTOSTOS2VarietyBoltWaterTrtRainFedAgronomyDensity_1</v>
      </c>
      <c r="B145" t="s">
        <v>96</v>
      </c>
      <c r="C145" t="s">
        <v>97</v>
      </c>
      <c r="D145" t="s">
        <v>46</v>
      </c>
      <c r="E145" t="s">
        <v>58</v>
      </c>
      <c r="F145" t="s">
        <v>84</v>
      </c>
      <c r="G145" t="s">
        <v>165</v>
      </c>
      <c r="H145" t="s">
        <v>25</v>
      </c>
      <c r="I145" t="s">
        <v>85</v>
      </c>
      <c r="J145">
        <v>2</v>
      </c>
      <c r="K145" s="1">
        <v>44692</v>
      </c>
      <c r="L145" s="1">
        <v>44707</v>
      </c>
      <c r="M145" s="1">
        <v>44780</v>
      </c>
      <c r="N145" s="1">
        <v>44782</v>
      </c>
      <c r="O145" s="1">
        <v>44801</v>
      </c>
      <c r="P145" s="1">
        <v>44869</v>
      </c>
      <c r="Q145" s="1">
        <v>44758</v>
      </c>
      <c r="R145" s="1">
        <v>44820</v>
      </c>
      <c r="T145">
        <f t="shared" si="20"/>
        <v>15</v>
      </c>
      <c r="U145">
        <f t="shared" si="21"/>
        <v>88</v>
      </c>
      <c r="V145">
        <f t="shared" si="22"/>
        <v>90</v>
      </c>
      <c r="W145">
        <f t="shared" si="23"/>
        <v>109</v>
      </c>
      <c r="X145">
        <f t="shared" si="24"/>
        <v>177</v>
      </c>
    </row>
    <row r="146" spans="1:24" x14ac:dyDescent="0.25">
      <c r="A146" t="str">
        <f t="shared" si="19"/>
        <v>2022_SA_Warnertown_Lentil_SatelliteTOSTOS2VarietyHallmarkXTWaterTrtRainFedAgronomyDensity_1</v>
      </c>
      <c r="B146" t="s">
        <v>96</v>
      </c>
      <c r="C146" t="s">
        <v>97</v>
      </c>
      <c r="D146" t="s">
        <v>46</v>
      </c>
      <c r="E146" t="s">
        <v>58</v>
      </c>
      <c r="F146" t="s">
        <v>84</v>
      </c>
      <c r="G146" t="s">
        <v>167</v>
      </c>
      <c r="H146" t="s">
        <v>25</v>
      </c>
      <c r="I146" t="s">
        <v>85</v>
      </c>
      <c r="J146">
        <v>2</v>
      </c>
      <c r="K146" s="1">
        <v>44692</v>
      </c>
      <c r="L146" s="1">
        <v>44707</v>
      </c>
      <c r="M146" s="1">
        <v>44779</v>
      </c>
      <c r="N146" s="1"/>
      <c r="O146" s="1">
        <v>44804</v>
      </c>
      <c r="P146" s="1">
        <v>44869</v>
      </c>
      <c r="Q146" s="1" t="e">
        <v>#NUM!</v>
      </c>
      <c r="R146" s="1" t="e">
        <v>#NUM!</v>
      </c>
      <c r="T146">
        <f t="shared" si="20"/>
        <v>15</v>
      </c>
      <c r="U146">
        <f t="shared" si="21"/>
        <v>87</v>
      </c>
      <c r="W146">
        <f t="shared" si="23"/>
        <v>112</v>
      </c>
      <c r="X146">
        <f t="shared" si="24"/>
        <v>177</v>
      </c>
    </row>
    <row r="147" spans="1:24" x14ac:dyDescent="0.25">
      <c r="A147" t="str">
        <f t="shared" si="19"/>
        <v>2022_SA_Warnertown_Lentil_SatelliteTOSTOS2VarietyJumbo2WaterTrtRainFedAgronomyDensity_0.66</v>
      </c>
      <c r="B147" t="s">
        <v>96</v>
      </c>
      <c r="C147" t="s">
        <v>97</v>
      </c>
      <c r="D147" t="s">
        <v>46</v>
      </c>
      <c r="E147" t="s">
        <v>58</v>
      </c>
      <c r="F147" t="s">
        <v>84</v>
      </c>
      <c r="G147" t="s">
        <v>168</v>
      </c>
      <c r="H147" t="s">
        <v>25</v>
      </c>
      <c r="I147" t="s">
        <v>86</v>
      </c>
      <c r="J147">
        <v>2</v>
      </c>
      <c r="K147" s="1">
        <v>44692</v>
      </c>
      <c r="L147" s="1">
        <v>44707</v>
      </c>
      <c r="M147" s="1">
        <v>44770</v>
      </c>
      <c r="N147" s="1">
        <v>44782</v>
      </c>
      <c r="O147" s="1">
        <v>44792</v>
      </c>
      <c r="P147" s="1">
        <v>44869</v>
      </c>
      <c r="Q147" s="1">
        <v>44758</v>
      </c>
      <c r="R147" s="1">
        <v>44820</v>
      </c>
      <c r="T147">
        <f t="shared" si="20"/>
        <v>15</v>
      </c>
      <c r="U147">
        <f t="shared" si="21"/>
        <v>78</v>
      </c>
      <c r="V147">
        <f t="shared" si="22"/>
        <v>90</v>
      </c>
      <c r="W147">
        <f t="shared" si="23"/>
        <v>100</v>
      </c>
      <c r="X147">
        <f t="shared" si="24"/>
        <v>177</v>
      </c>
    </row>
    <row r="148" spans="1:24" x14ac:dyDescent="0.25">
      <c r="A148" t="str">
        <f t="shared" si="19"/>
        <v>2022_SA_Warnertown_Lentil_SatelliteTOSTOS2VarietyJumbo2WaterTrtRainFedAgronomyDensity_1</v>
      </c>
      <c r="B148" t="s">
        <v>96</v>
      </c>
      <c r="C148" t="s">
        <v>97</v>
      </c>
      <c r="D148" t="s">
        <v>46</v>
      </c>
      <c r="E148" t="s">
        <v>58</v>
      </c>
      <c r="F148" t="s">
        <v>84</v>
      </c>
      <c r="G148" t="s">
        <v>168</v>
      </c>
      <c r="H148" t="s">
        <v>25</v>
      </c>
      <c r="I148" t="s">
        <v>85</v>
      </c>
      <c r="J148">
        <v>2</v>
      </c>
      <c r="K148" s="1">
        <v>44692</v>
      </c>
      <c r="L148" s="1">
        <v>44707</v>
      </c>
      <c r="M148" s="1">
        <v>44770</v>
      </c>
      <c r="N148" s="1">
        <v>44782</v>
      </c>
      <c r="O148" s="1">
        <v>44792</v>
      </c>
      <c r="P148" s="1">
        <v>44869</v>
      </c>
      <c r="Q148" s="1">
        <v>44758</v>
      </c>
      <c r="R148" s="1">
        <v>44820</v>
      </c>
      <c r="T148">
        <f t="shared" si="20"/>
        <v>15</v>
      </c>
      <c r="U148">
        <f t="shared" si="21"/>
        <v>78</v>
      </c>
      <c r="V148">
        <f t="shared" si="22"/>
        <v>90</v>
      </c>
      <c r="W148">
        <f t="shared" si="23"/>
        <v>100</v>
      </c>
      <c r="X148">
        <f t="shared" si="24"/>
        <v>177</v>
      </c>
    </row>
    <row r="149" spans="1:24" x14ac:dyDescent="0.25">
      <c r="A149" t="str">
        <f t="shared" si="19"/>
        <v>2022_SA_Warnertown_Lentil_SatelliteTOSTOS2VarietyKelpieXTWaterTrtRainFedAgronomyDensity_1</v>
      </c>
      <c r="B149" t="s">
        <v>96</v>
      </c>
      <c r="C149" t="s">
        <v>97</v>
      </c>
      <c r="D149" t="s">
        <v>46</v>
      </c>
      <c r="E149" t="s">
        <v>58</v>
      </c>
      <c r="F149" t="s">
        <v>84</v>
      </c>
      <c r="G149" t="s">
        <v>169</v>
      </c>
      <c r="H149" t="s">
        <v>25</v>
      </c>
      <c r="I149" t="s">
        <v>85</v>
      </c>
      <c r="J149">
        <v>2</v>
      </c>
      <c r="K149" s="1">
        <v>44692</v>
      </c>
      <c r="L149" s="1">
        <v>44707</v>
      </c>
      <c r="M149" s="1">
        <v>44770</v>
      </c>
      <c r="N149" s="1">
        <v>44782</v>
      </c>
      <c r="O149" s="1">
        <v>44792</v>
      </c>
      <c r="P149" s="1">
        <v>44850</v>
      </c>
      <c r="Q149" s="1">
        <v>44758</v>
      </c>
      <c r="R149" s="1">
        <v>44820</v>
      </c>
      <c r="T149">
        <f t="shared" si="20"/>
        <v>15</v>
      </c>
      <c r="U149">
        <f t="shared" si="21"/>
        <v>78</v>
      </c>
      <c r="V149">
        <f t="shared" si="22"/>
        <v>90</v>
      </c>
      <c r="W149">
        <f t="shared" si="23"/>
        <v>100</v>
      </c>
      <c r="X149">
        <f t="shared" si="24"/>
        <v>158</v>
      </c>
    </row>
    <row r="150" spans="1:24" hidden="1" x14ac:dyDescent="0.25">
      <c r="B150" t="s">
        <v>70</v>
      </c>
      <c r="C150" t="s">
        <v>71</v>
      </c>
      <c r="D150" t="s">
        <v>20</v>
      </c>
      <c r="E150" t="s">
        <v>58</v>
      </c>
      <c r="F150" t="s">
        <v>72</v>
      </c>
      <c r="G150" t="s">
        <v>23</v>
      </c>
      <c r="H150" t="s">
        <v>25</v>
      </c>
      <c r="J150">
        <v>1</v>
      </c>
      <c r="K150" s="1">
        <v>44683</v>
      </c>
      <c r="L150" s="1">
        <v>44694</v>
      </c>
      <c r="M150" s="1">
        <v>44771</v>
      </c>
      <c r="N150" s="1">
        <v>44793</v>
      </c>
      <c r="O150" s="1">
        <v>44844</v>
      </c>
      <c r="P150" s="1">
        <v>44903</v>
      </c>
      <c r="Q150" s="1">
        <v>44747</v>
      </c>
      <c r="R150" s="1">
        <v>44847</v>
      </c>
    </row>
    <row r="151" spans="1:24" hidden="1" x14ac:dyDescent="0.25">
      <c r="B151" t="s">
        <v>70</v>
      </c>
      <c r="C151" t="s">
        <v>71</v>
      </c>
      <c r="D151" t="s">
        <v>20</v>
      </c>
      <c r="E151" t="s">
        <v>58</v>
      </c>
      <c r="F151" t="s">
        <v>72</v>
      </c>
      <c r="G151" t="s">
        <v>62</v>
      </c>
      <c r="H151" t="s">
        <v>25</v>
      </c>
      <c r="J151">
        <v>1</v>
      </c>
      <c r="K151" s="1">
        <v>44683</v>
      </c>
      <c r="L151" s="1">
        <v>44694</v>
      </c>
      <c r="M151" s="1">
        <v>44781</v>
      </c>
      <c r="N151" s="1">
        <v>44838</v>
      </c>
      <c r="O151" s="1">
        <v>44850</v>
      </c>
      <c r="P151" s="1">
        <v>44903</v>
      </c>
      <c r="Q151" s="1">
        <v>44805</v>
      </c>
      <c r="R151" s="1">
        <v>44877</v>
      </c>
    </row>
    <row r="152" spans="1:24" hidden="1" x14ac:dyDescent="0.25">
      <c r="B152" t="s">
        <v>70</v>
      </c>
      <c r="C152" t="s">
        <v>71</v>
      </c>
      <c r="D152" t="s">
        <v>20</v>
      </c>
      <c r="E152" t="s">
        <v>58</v>
      </c>
      <c r="F152" t="s">
        <v>72</v>
      </c>
      <c r="G152" t="s">
        <v>26</v>
      </c>
      <c r="H152" t="s">
        <v>25</v>
      </c>
      <c r="J152">
        <v>1</v>
      </c>
      <c r="K152" s="1">
        <v>44683</v>
      </c>
      <c r="L152" s="1">
        <v>44694</v>
      </c>
      <c r="M152" s="1">
        <v>44773</v>
      </c>
      <c r="N152" s="1">
        <v>44807</v>
      </c>
      <c r="O152" s="1">
        <v>44846</v>
      </c>
      <c r="P152" s="1">
        <v>44903</v>
      </c>
      <c r="Q152" s="1">
        <v>44766</v>
      </c>
      <c r="R152" s="1">
        <v>44856</v>
      </c>
    </row>
    <row r="153" spans="1:24" hidden="1" x14ac:dyDescent="0.25">
      <c r="B153" t="s">
        <v>70</v>
      </c>
      <c r="C153" t="s">
        <v>71</v>
      </c>
      <c r="D153" t="s">
        <v>20</v>
      </c>
      <c r="E153" t="s">
        <v>58</v>
      </c>
      <c r="F153" t="s">
        <v>72</v>
      </c>
      <c r="G153" t="s">
        <v>27</v>
      </c>
      <c r="H153" t="s">
        <v>25</v>
      </c>
      <c r="J153">
        <v>1</v>
      </c>
      <c r="K153" s="1">
        <v>44683</v>
      </c>
      <c r="L153" s="1">
        <v>44694</v>
      </c>
      <c r="M153" s="1">
        <v>44787</v>
      </c>
      <c r="N153" s="1">
        <v>44824</v>
      </c>
      <c r="O153" s="1">
        <v>44846</v>
      </c>
      <c r="P153" s="1">
        <v>44903</v>
      </c>
      <c r="Q153" s="1">
        <v>44786</v>
      </c>
      <c r="R153" s="1">
        <v>44867</v>
      </c>
    </row>
    <row r="154" spans="1:24" hidden="1" x14ac:dyDescent="0.25">
      <c r="B154" t="s">
        <v>70</v>
      </c>
      <c r="C154" t="s">
        <v>71</v>
      </c>
      <c r="D154" t="s">
        <v>20</v>
      </c>
      <c r="E154" t="s">
        <v>58</v>
      </c>
      <c r="F154" t="s">
        <v>72</v>
      </c>
      <c r="G154" t="s">
        <v>73</v>
      </c>
      <c r="H154" t="s">
        <v>25</v>
      </c>
      <c r="J154">
        <v>1</v>
      </c>
      <c r="K154" s="1">
        <v>44683</v>
      </c>
      <c r="L154" s="1">
        <v>44694</v>
      </c>
      <c r="M154" s="1">
        <v>44781</v>
      </c>
      <c r="N154" s="1">
        <v>44827</v>
      </c>
      <c r="O154" s="1">
        <v>44848</v>
      </c>
      <c r="P154" s="1">
        <v>44903</v>
      </c>
      <c r="Q154" s="1">
        <v>44790</v>
      </c>
      <c r="R154" s="1">
        <v>44870</v>
      </c>
    </row>
    <row r="155" spans="1:24" hidden="1" x14ac:dyDescent="0.25">
      <c r="B155" t="s">
        <v>70</v>
      </c>
      <c r="C155" t="s">
        <v>71</v>
      </c>
      <c r="D155" t="s">
        <v>20</v>
      </c>
      <c r="E155" t="s">
        <v>58</v>
      </c>
      <c r="F155" t="s">
        <v>72</v>
      </c>
      <c r="G155" t="s">
        <v>28</v>
      </c>
      <c r="H155" t="s">
        <v>25</v>
      </c>
      <c r="J155">
        <v>1</v>
      </c>
      <c r="K155" s="1">
        <v>44683</v>
      </c>
      <c r="L155" s="1">
        <v>44694</v>
      </c>
      <c r="M155" s="1">
        <v>44771</v>
      </c>
      <c r="N155" s="1">
        <v>44793</v>
      </c>
      <c r="O155" s="1">
        <v>44844</v>
      </c>
      <c r="P155" s="1">
        <v>44903</v>
      </c>
      <c r="Q155" s="1">
        <v>44747</v>
      </c>
      <c r="R155" s="1">
        <v>44847</v>
      </c>
    </row>
    <row r="156" spans="1:24" hidden="1" x14ac:dyDescent="0.25">
      <c r="B156" t="s">
        <v>70</v>
      </c>
      <c r="C156" t="s">
        <v>71</v>
      </c>
      <c r="D156" t="s">
        <v>20</v>
      </c>
      <c r="E156" t="s">
        <v>58</v>
      </c>
      <c r="F156" t="s">
        <v>72</v>
      </c>
      <c r="G156" t="s">
        <v>23</v>
      </c>
      <c r="H156" t="s">
        <v>25</v>
      </c>
      <c r="J156">
        <v>2</v>
      </c>
      <c r="K156" s="1">
        <v>44713</v>
      </c>
      <c r="L156" s="1">
        <v>44725</v>
      </c>
      <c r="M156" s="1">
        <v>44797</v>
      </c>
      <c r="N156" s="1">
        <v>44838</v>
      </c>
      <c r="O156" s="1">
        <v>44853</v>
      </c>
      <c r="P156" s="1">
        <v>44903</v>
      </c>
      <c r="Q156" s="1">
        <v>44805</v>
      </c>
      <c r="R156" s="1">
        <v>44877</v>
      </c>
    </row>
    <row r="157" spans="1:24" hidden="1" x14ac:dyDescent="0.25">
      <c r="B157" t="s">
        <v>70</v>
      </c>
      <c r="C157" t="s">
        <v>71</v>
      </c>
      <c r="D157" t="s">
        <v>20</v>
      </c>
      <c r="E157" t="s">
        <v>58</v>
      </c>
      <c r="F157" t="s">
        <v>72</v>
      </c>
      <c r="G157" t="s">
        <v>62</v>
      </c>
      <c r="H157" t="s">
        <v>25</v>
      </c>
      <c r="J157">
        <v>2</v>
      </c>
      <c r="K157" s="1">
        <v>44713</v>
      </c>
      <c r="L157" s="1">
        <v>44725</v>
      </c>
      <c r="M157" s="1">
        <v>44797</v>
      </c>
      <c r="N157" s="1">
        <v>44846</v>
      </c>
      <c r="O157" s="1"/>
      <c r="P157" s="1">
        <v>44903</v>
      </c>
      <c r="Q157" s="1">
        <v>44817</v>
      </c>
      <c r="R157" s="1">
        <v>44884</v>
      </c>
    </row>
    <row r="158" spans="1:24" hidden="1" x14ac:dyDescent="0.25">
      <c r="B158" t="s">
        <v>70</v>
      </c>
      <c r="C158" t="s">
        <v>71</v>
      </c>
      <c r="D158" t="s">
        <v>20</v>
      </c>
      <c r="E158" t="s">
        <v>58</v>
      </c>
      <c r="F158" t="s">
        <v>72</v>
      </c>
      <c r="G158" t="s">
        <v>26</v>
      </c>
      <c r="H158" t="s">
        <v>25</v>
      </c>
      <c r="J158">
        <v>2</v>
      </c>
      <c r="K158" s="1">
        <v>44713</v>
      </c>
      <c r="L158" s="1">
        <v>44725</v>
      </c>
      <c r="M158" s="1">
        <v>44797</v>
      </c>
      <c r="N158" s="1">
        <v>44839</v>
      </c>
      <c r="O158" s="1">
        <v>44853</v>
      </c>
      <c r="P158" s="1">
        <v>44903</v>
      </c>
      <c r="Q158" s="1">
        <v>44807</v>
      </c>
      <c r="R158" s="1">
        <v>44878</v>
      </c>
    </row>
    <row r="159" spans="1:24" hidden="1" x14ac:dyDescent="0.25">
      <c r="B159" t="s">
        <v>70</v>
      </c>
      <c r="C159" t="s">
        <v>71</v>
      </c>
      <c r="D159" t="s">
        <v>20</v>
      </c>
      <c r="E159" t="s">
        <v>58</v>
      </c>
      <c r="F159" t="s">
        <v>72</v>
      </c>
      <c r="G159" t="s">
        <v>27</v>
      </c>
      <c r="H159" t="s">
        <v>25</v>
      </c>
      <c r="J159">
        <v>2</v>
      </c>
      <c r="K159" s="1">
        <v>44713</v>
      </c>
      <c r="L159" s="1">
        <v>44725</v>
      </c>
      <c r="M159" s="1"/>
      <c r="N159" s="1">
        <v>44839</v>
      </c>
      <c r="O159" s="1">
        <v>44860</v>
      </c>
      <c r="P159" s="1">
        <v>44903</v>
      </c>
      <c r="Q159" s="1">
        <v>44807</v>
      </c>
      <c r="R159" s="1">
        <v>44878</v>
      </c>
    </row>
    <row r="160" spans="1:24" hidden="1" x14ac:dyDescent="0.25">
      <c r="B160" t="s">
        <v>70</v>
      </c>
      <c r="C160" t="s">
        <v>71</v>
      </c>
      <c r="D160" t="s">
        <v>20</v>
      </c>
      <c r="E160" t="s">
        <v>58</v>
      </c>
      <c r="F160" t="s">
        <v>72</v>
      </c>
      <c r="G160" t="s">
        <v>73</v>
      </c>
      <c r="H160" t="s">
        <v>25</v>
      </c>
      <c r="J160">
        <v>2</v>
      </c>
      <c r="K160" s="1">
        <v>44713</v>
      </c>
      <c r="L160" s="1">
        <v>44725</v>
      </c>
      <c r="M160" s="1"/>
      <c r="N160" s="1">
        <v>44838</v>
      </c>
      <c r="O160" s="1">
        <v>44853</v>
      </c>
      <c r="P160" s="1">
        <v>44903</v>
      </c>
      <c r="Q160" s="1">
        <v>44805</v>
      </c>
      <c r="R160" s="1">
        <v>44877</v>
      </c>
    </row>
    <row r="161" spans="1:24" hidden="1" x14ac:dyDescent="0.25">
      <c r="B161" t="s">
        <v>70</v>
      </c>
      <c r="C161" t="s">
        <v>71</v>
      </c>
      <c r="D161" t="s">
        <v>20</v>
      </c>
      <c r="E161" t="s">
        <v>58</v>
      </c>
      <c r="F161" t="s">
        <v>72</v>
      </c>
      <c r="G161" t="s">
        <v>28</v>
      </c>
      <c r="H161" t="s">
        <v>25</v>
      </c>
      <c r="J161">
        <v>2</v>
      </c>
      <c r="K161" s="1">
        <v>44713</v>
      </c>
      <c r="L161" s="1">
        <v>44725</v>
      </c>
      <c r="M161" s="1">
        <v>44797</v>
      </c>
      <c r="N161" s="1">
        <v>44838</v>
      </c>
      <c r="O161" s="1">
        <v>44853</v>
      </c>
      <c r="P161" s="1">
        <v>44903</v>
      </c>
      <c r="Q161" s="1">
        <v>44805</v>
      </c>
      <c r="R161" s="1">
        <v>44877</v>
      </c>
    </row>
    <row r="162" spans="1:24" x14ac:dyDescent="0.25">
      <c r="A162" t="str">
        <f t="shared" ref="A162:A173" si="25">C162&amp;"TOSTOS"&amp;J162&amp;"Variety"&amp;G162&amp;"WaterTrt"&amp;H162&amp;IF(I162="","","Agronomy"&amp;I162)</f>
        <v>2022_Vic_Ouyen_Lentil_SatelliteTOSTOS1VarietyGIA_LeaderWaterTrtRainFed</v>
      </c>
      <c r="B162" t="s">
        <v>90</v>
      </c>
      <c r="C162" t="s">
        <v>91</v>
      </c>
      <c r="D162" t="s">
        <v>46</v>
      </c>
      <c r="E162" t="s">
        <v>58</v>
      </c>
      <c r="F162" t="s">
        <v>72</v>
      </c>
      <c r="G162" t="s">
        <v>92</v>
      </c>
      <c r="H162" t="s">
        <v>25</v>
      </c>
      <c r="J162">
        <v>1</v>
      </c>
      <c r="K162" s="1">
        <v>44683</v>
      </c>
      <c r="L162" s="1">
        <v>44693</v>
      </c>
      <c r="M162" s="1">
        <v>44790</v>
      </c>
      <c r="N162" s="1">
        <v>44792</v>
      </c>
      <c r="O162" s="1">
        <v>44829</v>
      </c>
      <c r="P162" s="1">
        <v>44877</v>
      </c>
      <c r="Q162" s="1">
        <v>44766</v>
      </c>
      <c r="R162" s="1">
        <v>44832</v>
      </c>
      <c r="T162">
        <f t="shared" ref="T162:T173" si="26">L162-$K162</f>
        <v>10</v>
      </c>
      <c r="U162">
        <f t="shared" ref="U162:U173" si="27">M162-$K162</f>
        <v>107</v>
      </c>
      <c r="V162">
        <f t="shared" ref="V162:V173" si="28">N162-$K162</f>
        <v>109</v>
      </c>
      <c r="W162">
        <f t="shared" ref="W162:W173" si="29">O162-$K162</f>
        <v>146</v>
      </c>
      <c r="X162">
        <f t="shared" ref="X162:X173" si="30">P162-$K162</f>
        <v>194</v>
      </c>
    </row>
    <row r="163" spans="1:24" x14ac:dyDescent="0.25">
      <c r="A163" t="str">
        <f t="shared" si="25"/>
        <v>2022_Vic_Ouyen_Lentil_SatelliteTOSTOS1VarietyGIA_LightningWaterTrtRainFed</v>
      </c>
      <c r="B163" t="s">
        <v>90</v>
      </c>
      <c r="C163" t="s">
        <v>91</v>
      </c>
      <c r="D163" t="s">
        <v>46</v>
      </c>
      <c r="E163" t="s">
        <v>58</v>
      </c>
      <c r="F163" t="s">
        <v>72</v>
      </c>
      <c r="G163" t="s">
        <v>93</v>
      </c>
      <c r="H163" t="s">
        <v>25</v>
      </c>
      <c r="J163">
        <v>1</v>
      </c>
      <c r="K163" s="1">
        <v>44683</v>
      </c>
      <c r="L163" s="1">
        <v>44693</v>
      </c>
      <c r="M163" s="1">
        <v>44790</v>
      </c>
      <c r="N163" s="1">
        <v>44793</v>
      </c>
      <c r="O163" s="1">
        <v>44831</v>
      </c>
      <c r="P163" s="1">
        <v>44884</v>
      </c>
      <c r="Q163" s="1">
        <v>44767</v>
      </c>
      <c r="R163" s="1">
        <v>44833</v>
      </c>
      <c r="T163">
        <f t="shared" si="26"/>
        <v>10</v>
      </c>
      <c r="U163">
        <f t="shared" si="27"/>
        <v>107</v>
      </c>
      <c r="V163">
        <f t="shared" si="28"/>
        <v>110</v>
      </c>
      <c r="W163">
        <f t="shared" si="29"/>
        <v>148</v>
      </c>
      <c r="X163">
        <f t="shared" si="30"/>
        <v>201</v>
      </c>
    </row>
    <row r="164" spans="1:24" x14ac:dyDescent="0.25">
      <c r="A164" t="str">
        <f t="shared" si="25"/>
        <v>2022_Vic_Ouyen_Lentil_SatelliteTOSTOS1VarietyBoltWaterTrtRainFed</v>
      </c>
      <c r="B164" t="s">
        <v>90</v>
      </c>
      <c r="C164" t="s">
        <v>91</v>
      </c>
      <c r="D164" t="s">
        <v>46</v>
      </c>
      <c r="E164" t="s">
        <v>58</v>
      </c>
      <c r="F164" t="s">
        <v>72</v>
      </c>
      <c r="G164" t="s">
        <v>165</v>
      </c>
      <c r="H164" t="s">
        <v>25</v>
      </c>
      <c r="J164">
        <v>1</v>
      </c>
      <c r="K164" s="1">
        <v>44683</v>
      </c>
      <c r="L164" s="1">
        <v>44693</v>
      </c>
      <c r="M164" s="1">
        <v>44790</v>
      </c>
      <c r="N164" s="1">
        <v>44793</v>
      </c>
      <c r="O164" s="1">
        <v>44815</v>
      </c>
      <c r="P164" s="1">
        <v>44864</v>
      </c>
      <c r="Q164" s="1">
        <v>44767</v>
      </c>
      <c r="R164" s="1">
        <v>44833</v>
      </c>
      <c r="T164">
        <f t="shared" si="26"/>
        <v>10</v>
      </c>
      <c r="U164">
        <f t="shared" si="27"/>
        <v>107</v>
      </c>
      <c r="V164">
        <f t="shared" si="28"/>
        <v>110</v>
      </c>
      <c r="W164">
        <f t="shared" si="29"/>
        <v>132</v>
      </c>
      <c r="X164">
        <f t="shared" si="30"/>
        <v>181</v>
      </c>
    </row>
    <row r="165" spans="1:24" x14ac:dyDescent="0.25">
      <c r="A165" t="str">
        <f t="shared" si="25"/>
        <v>2022_Vic_Ouyen_Lentil_SatelliteTOSTOS1VarietyHallmarkXTWaterTrtRainFed</v>
      </c>
      <c r="B165" t="s">
        <v>90</v>
      </c>
      <c r="C165" t="s">
        <v>91</v>
      </c>
      <c r="D165" t="s">
        <v>46</v>
      </c>
      <c r="E165" t="s">
        <v>58</v>
      </c>
      <c r="F165" t="s">
        <v>72</v>
      </c>
      <c r="G165" t="s">
        <v>167</v>
      </c>
      <c r="H165" t="s">
        <v>25</v>
      </c>
      <c r="J165">
        <v>1</v>
      </c>
      <c r="K165" s="1">
        <v>44683</v>
      </c>
      <c r="L165" s="1">
        <v>44693</v>
      </c>
      <c r="M165" s="1">
        <v>44790</v>
      </c>
      <c r="N165" s="1">
        <v>44793</v>
      </c>
      <c r="O165" s="1">
        <v>44815</v>
      </c>
      <c r="P165" s="1">
        <v>44876</v>
      </c>
      <c r="Q165" s="1">
        <v>44767</v>
      </c>
      <c r="R165" s="1">
        <v>44833</v>
      </c>
      <c r="T165">
        <f t="shared" si="26"/>
        <v>10</v>
      </c>
      <c r="U165">
        <f t="shared" si="27"/>
        <v>107</v>
      </c>
      <c r="V165">
        <f t="shared" si="28"/>
        <v>110</v>
      </c>
      <c r="W165">
        <f t="shared" si="29"/>
        <v>132</v>
      </c>
      <c r="X165">
        <f t="shared" si="30"/>
        <v>193</v>
      </c>
    </row>
    <row r="166" spans="1:24" x14ac:dyDescent="0.25">
      <c r="A166" t="str">
        <f t="shared" si="25"/>
        <v>2022_Vic_Ouyen_Lentil_SatelliteTOSTOS1VarietyJumbo2WaterTrtRainFed</v>
      </c>
      <c r="B166" t="s">
        <v>90</v>
      </c>
      <c r="C166" t="s">
        <v>91</v>
      </c>
      <c r="D166" t="s">
        <v>46</v>
      </c>
      <c r="E166" t="s">
        <v>58</v>
      </c>
      <c r="F166" t="s">
        <v>72</v>
      </c>
      <c r="G166" t="s">
        <v>168</v>
      </c>
      <c r="H166" t="s">
        <v>25</v>
      </c>
      <c r="J166">
        <v>1</v>
      </c>
      <c r="K166" s="1">
        <v>44683</v>
      </c>
      <c r="L166" s="1">
        <v>44693</v>
      </c>
      <c r="M166" s="1">
        <v>44790</v>
      </c>
      <c r="N166" s="1">
        <v>44793</v>
      </c>
      <c r="O166" s="1">
        <v>44815</v>
      </c>
      <c r="P166" s="1">
        <v>44868</v>
      </c>
      <c r="Q166" s="1">
        <v>44767</v>
      </c>
      <c r="R166" s="1">
        <v>44833</v>
      </c>
      <c r="T166">
        <f t="shared" si="26"/>
        <v>10</v>
      </c>
      <c r="U166">
        <f t="shared" si="27"/>
        <v>107</v>
      </c>
      <c r="V166">
        <f t="shared" si="28"/>
        <v>110</v>
      </c>
      <c r="W166">
        <f t="shared" si="29"/>
        <v>132</v>
      </c>
      <c r="X166">
        <f t="shared" si="30"/>
        <v>185</v>
      </c>
    </row>
    <row r="167" spans="1:24" x14ac:dyDescent="0.25">
      <c r="A167" t="str">
        <f t="shared" si="25"/>
        <v>2022_Vic_Ouyen_Lentil_SatelliteTOSTOS1VarietyKelpieXTWaterTrtRainFed</v>
      </c>
      <c r="B167" t="s">
        <v>90</v>
      </c>
      <c r="C167" t="s">
        <v>91</v>
      </c>
      <c r="D167" t="s">
        <v>46</v>
      </c>
      <c r="E167" t="s">
        <v>58</v>
      </c>
      <c r="F167" t="s">
        <v>72</v>
      </c>
      <c r="G167" t="s">
        <v>169</v>
      </c>
      <c r="H167" t="s">
        <v>25</v>
      </c>
      <c r="J167">
        <v>1</v>
      </c>
      <c r="K167" s="1">
        <v>44683</v>
      </c>
      <c r="L167" s="1">
        <v>44693</v>
      </c>
      <c r="M167" s="1">
        <v>44790</v>
      </c>
      <c r="N167" s="1">
        <v>44793</v>
      </c>
      <c r="O167" s="1">
        <v>44814</v>
      </c>
      <c r="P167" s="1">
        <v>44864</v>
      </c>
      <c r="Q167" s="1">
        <v>44767</v>
      </c>
      <c r="R167" s="1">
        <v>44833</v>
      </c>
      <c r="T167">
        <f t="shared" si="26"/>
        <v>10</v>
      </c>
      <c r="U167">
        <f t="shared" si="27"/>
        <v>107</v>
      </c>
      <c r="V167">
        <f t="shared" si="28"/>
        <v>110</v>
      </c>
      <c r="W167">
        <f t="shared" si="29"/>
        <v>131</v>
      </c>
      <c r="X167">
        <f t="shared" si="30"/>
        <v>181</v>
      </c>
    </row>
    <row r="168" spans="1:24" x14ac:dyDescent="0.25">
      <c r="A168" t="str">
        <f t="shared" si="25"/>
        <v>2022_Vic_Ouyen_Lentil_SatelliteTOSTOS2VarietyGIA_LeaderWaterTrtRainFed</v>
      </c>
      <c r="B168" t="s">
        <v>90</v>
      </c>
      <c r="C168" t="s">
        <v>91</v>
      </c>
      <c r="D168" t="s">
        <v>46</v>
      </c>
      <c r="E168" t="s">
        <v>58</v>
      </c>
      <c r="F168" t="s">
        <v>72</v>
      </c>
      <c r="G168" t="s">
        <v>92</v>
      </c>
      <c r="H168" t="s">
        <v>25</v>
      </c>
      <c r="J168">
        <v>2</v>
      </c>
      <c r="K168" s="1">
        <v>44713</v>
      </c>
      <c r="L168" s="1">
        <v>44724</v>
      </c>
      <c r="M168" s="1"/>
      <c r="N168" s="1">
        <v>44818</v>
      </c>
      <c r="O168" s="1">
        <v>44841</v>
      </c>
      <c r="P168" s="1">
        <v>44891</v>
      </c>
      <c r="Q168" s="1">
        <v>44793</v>
      </c>
      <c r="R168" s="1">
        <v>44852</v>
      </c>
      <c r="T168">
        <f t="shared" si="26"/>
        <v>11</v>
      </c>
      <c r="V168">
        <f t="shared" si="28"/>
        <v>105</v>
      </c>
      <c r="W168">
        <f t="shared" si="29"/>
        <v>128</v>
      </c>
      <c r="X168">
        <f t="shared" si="30"/>
        <v>178</v>
      </c>
    </row>
    <row r="169" spans="1:24" x14ac:dyDescent="0.25">
      <c r="A169" t="str">
        <f t="shared" si="25"/>
        <v>2022_Vic_Ouyen_Lentil_SatelliteTOSTOS2VarietyGIA_LightningWaterTrtRainFed</v>
      </c>
      <c r="B169" t="s">
        <v>90</v>
      </c>
      <c r="C169" t="s">
        <v>91</v>
      </c>
      <c r="D169" t="s">
        <v>46</v>
      </c>
      <c r="E169" t="s">
        <v>58</v>
      </c>
      <c r="F169" t="s">
        <v>72</v>
      </c>
      <c r="G169" t="s">
        <v>93</v>
      </c>
      <c r="H169" t="s">
        <v>25</v>
      </c>
      <c r="J169">
        <v>2</v>
      </c>
      <c r="K169" s="1">
        <v>44713</v>
      </c>
      <c r="L169" s="1">
        <v>44724</v>
      </c>
      <c r="M169" s="1">
        <v>44815</v>
      </c>
      <c r="N169" s="1">
        <v>44825</v>
      </c>
      <c r="O169" s="1">
        <v>44844</v>
      </c>
      <c r="P169" s="1">
        <v>44891</v>
      </c>
      <c r="Q169" s="1">
        <v>44801</v>
      </c>
      <c r="R169" s="1">
        <v>44857</v>
      </c>
      <c r="T169">
        <f t="shared" si="26"/>
        <v>11</v>
      </c>
      <c r="U169">
        <f t="shared" si="27"/>
        <v>102</v>
      </c>
      <c r="V169">
        <f t="shared" si="28"/>
        <v>112</v>
      </c>
      <c r="W169">
        <f t="shared" si="29"/>
        <v>131</v>
      </c>
      <c r="X169">
        <f t="shared" si="30"/>
        <v>178</v>
      </c>
    </row>
    <row r="170" spans="1:24" x14ac:dyDescent="0.25">
      <c r="A170" t="str">
        <f t="shared" si="25"/>
        <v>2022_Vic_Ouyen_Lentil_SatelliteTOSTOS2VarietyBoltWaterTrtRainFed</v>
      </c>
      <c r="B170" t="s">
        <v>90</v>
      </c>
      <c r="C170" t="s">
        <v>91</v>
      </c>
      <c r="D170" t="s">
        <v>46</v>
      </c>
      <c r="E170" t="s">
        <v>58</v>
      </c>
      <c r="F170" t="s">
        <v>72</v>
      </c>
      <c r="G170" t="s">
        <v>165</v>
      </c>
      <c r="H170" t="s">
        <v>25</v>
      </c>
      <c r="J170">
        <v>2</v>
      </c>
      <c r="K170" s="1">
        <v>44713</v>
      </c>
      <c r="L170" s="1">
        <v>44724</v>
      </c>
      <c r="M170" s="1">
        <v>44805</v>
      </c>
      <c r="N170" s="1">
        <v>44818</v>
      </c>
      <c r="O170" s="1">
        <v>44841</v>
      </c>
      <c r="P170" s="1">
        <v>44879</v>
      </c>
      <c r="Q170" s="1">
        <v>44793</v>
      </c>
      <c r="R170" s="1">
        <v>44852</v>
      </c>
      <c r="T170">
        <f t="shared" si="26"/>
        <v>11</v>
      </c>
      <c r="U170">
        <f t="shared" si="27"/>
        <v>92</v>
      </c>
      <c r="V170">
        <f t="shared" si="28"/>
        <v>105</v>
      </c>
      <c r="W170">
        <f t="shared" si="29"/>
        <v>128</v>
      </c>
      <c r="X170">
        <f t="shared" si="30"/>
        <v>166</v>
      </c>
    </row>
    <row r="171" spans="1:24" x14ac:dyDescent="0.25">
      <c r="A171" t="str">
        <f t="shared" si="25"/>
        <v>2022_Vic_Ouyen_Lentil_SatelliteTOSTOS2VarietyHallmarkXTWaterTrtRainFed</v>
      </c>
      <c r="B171" t="s">
        <v>90</v>
      </c>
      <c r="C171" t="s">
        <v>91</v>
      </c>
      <c r="D171" t="s">
        <v>46</v>
      </c>
      <c r="E171" t="s">
        <v>58</v>
      </c>
      <c r="F171" t="s">
        <v>72</v>
      </c>
      <c r="G171" t="s">
        <v>167</v>
      </c>
      <c r="H171" t="s">
        <v>25</v>
      </c>
      <c r="J171">
        <v>2</v>
      </c>
      <c r="K171" s="1">
        <v>44713</v>
      </c>
      <c r="L171" s="1">
        <v>44724</v>
      </c>
      <c r="M171" s="1">
        <v>44810</v>
      </c>
      <c r="N171" s="1">
        <v>44821</v>
      </c>
      <c r="O171" s="1">
        <v>44841</v>
      </c>
      <c r="P171" s="1">
        <v>44879</v>
      </c>
      <c r="Q171" s="1">
        <v>44796</v>
      </c>
      <c r="R171" s="1">
        <v>44855</v>
      </c>
      <c r="T171">
        <f t="shared" si="26"/>
        <v>11</v>
      </c>
      <c r="U171">
        <f t="shared" si="27"/>
        <v>97</v>
      </c>
      <c r="V171">
        <f t="shared" si="28"/>
        <v>108</v>
      </c>
      <c r="W171">
        <f t="shared" si="29"/>
        <v>128</v>
      </c>
      <c r="X171">
        <f t="shared" si="30"/>
        <v>166</v>
      </c>
    </row>
    <row r="172" spans="1:24" x14ac:dyDescent="0.25">
      <c r="A172" t="str">
        <f t="shared" si="25"/>
        <v>2022_Vic_Ouyen_Lentil_SatelliteTOSTOS2VarietyJumbo2WaterTrtRainFed</v>
      </c>
      <c r="B172" t="s">
        <v>90</v>
      </c>
      <c r="C172" t="s">
        <v>91</v>
      </c>
      <c r="D172" t="s">
        <v>46</v>
      </c>
      <c r="E172" t="s">
        <v>58</v>
      </c>
      <c r="F172" t="s">
        <v>72</v>
      </c>
      <c r="G172" t="s">
        <v>168</v>
      </c>
      <c r="H172" t="s">
        <v>25</v>
      </c>
      <c r="J172">
        <v>2</v>
      </c>
      <c r="K172" s="1">
        <v>44713</v>
      </c>
      <c r="L172" s="1">
        <v>44724</v>
      </c>
      <c r="M172" s="1">
        <v>44815</v>
      </c>
      <c r="N172" s="1">
        <v>44818</v>
      </c>
      <c r="O172" s="1">
        <v>44837</v>
      </c>
      <c r="P172" s="1">
        <v>44878</v>
      </c>
      <c r="Q172" s="1">
        <v>44793</v>
      </c>
      <c r="R172" s="1">
        <v>44852</v>
      </c>
      <c r="T172">
        <f t="shared" si="26"/>
        <v>11</v>
      </c>
      <c r="U172">
        <f t="shared" si="27"/>
        <v>102</v>
      </c>
      <c r="V172">
        <f t="shared" si="28"/>
        <v>105</v>
      </c>
      <c r="W172">
        <f t="shared" si="29"/>
        <v>124</v>
      </c>
      <c r="X172">
        <f t="shared" si="30"/>
        <v>165</v>
      </c>
    </row>
    <row r="173" spans="1:24" x14ac:dyDescent="0.25">
      <c r="A173" t="str">
        <f t="shared" si="25"/>
        <v>2022_Vic_Ouyen_Lentil_SatelliteTOSTOS2VarietyKelpieXTWaterTrtRainFed</v>
      </c>
      <c r="B173" t="s">
        <v>90</v>
      </c>
      <c r="C173" t="s">
        <v>91</v>
      </c>
      <c r="D173" t="s">
        <v>46</v>
      </c>
      <c r="E173" t="s">
        <v>58</v>
      </c>
      <c r="F173" t="s">
        <v>72</v>
      </c>
      <c r="G173" t="s">
        <v>169</v>
      </c>
      <c r="H173" t="s">
        <v>25</v>
      </c>
      <c r="J173">
        <v>2</v>
      </c>
      <c r="K173" s="1">
        <v>44713</v>
      </c>
      <c r="L173" s="1">
        <v>44724</v>
      </c>
      <c r="M173" s="1">
        <v>44813</v>
      </c>
      <c r="N173" s="1">
        <v>44818</v>
      </c>
      <c r="O173" s="1">
        <v>44839</v>
      </c>
      <c r="P173" s="1">
        <v>44879</v>
      </c>
      <c r="Q173" s="1">
        <v>44793</v>
      </c>
      <c r="R173" s="1">
        <v>44852</v>
      </c>
      <c r="T173">
        <f t="shared" si="26"/>
        <v>11</v>
      </c>
      <c r="U173">
        <f t="shared" si="27"/>
        <v>100</v>
      </c>
      <c r="V173">
        <f t="shared" si="28"/>
        <v>105</v>
      </c>
      <c r="W173">
        <f t="shared" si="29"/>
        <v>126</v>
      </c>
      <c r="X173">
        <f t="shared" si="30"/>
        <v>166</v>
      </c>
    </row>
    <row r="174" spans="1:24" hidden="1" x14ac:dyDescent="0.25">
      <c r="B174" t="s">
        <v>56</v>
      </c>
      <c r="C174" t="s">
        <v>57</v>
      </c>
      <c r="D174" t="s">
        <v>20</v>
      </c>
      <c r="E174" t="s">
        <v>58</v>
      </c>
      <c r="F174" t="s">
        <v>59</v>
      </c>
      <c r="G174" t="s">
        <v>23</v>
      </c>
      <c r="H174" t="s">
        <v>25</v>
      </c>
      <c r="J174">
        <v>1</v>
      </c>
      <c r="K174" s="1">
        <v>44664</v>
      </c>
      <c r="L174" s="1">
        <v>44671</v>
      </c>
      <c r="M174" s="1">
        <v>44714</v>
      </c>
      <c r="N174" s="1">
        <v>44719</v>
      </c>
      <c r="O174" s="1">
        <v>44763</v>
      </c>
      <c r="P174" s="1">
        <v>44870</v>
      </c>
      <c r="Q174" s="1">
        <v>44697</v>
      </c>
      <c r="R174" s="1">
        <v>44758</v>
      </c>
    </row>
    <row r="175" spans="1:24" hidden="1" x14ac:dyDescent="0.25">
      <c r="B175" t="s">
        <v>56</v>
      </c>
      <c r="C175" t="s">
        <v>57</v>
      </c>
      <c r="D175" t="s">
        <v>20</v>
      </c>
      <c r="E175" t="s">
        <v>58</v>
      </c>
      <c r="F175" t="s">
        <v>59</v>
      </c>
      <c r="G175" t="s">
        <v>60</v>
      </c>
      <c r="H175" t="s">
        <v>25</v>
      </c>
      <c r="J175">
        <v>1</v>
      </c>
      <c r="K175" s="1">
        <v>44664</v>
      </c>
      <c r="L175" s="1">
        <v>44671</v>
      </c>
      <c r="M175" s="1"/>
      <c r="N175" s="1">
        <v>44707</v>
      </c>
      <c r="O175" s="1">
        <v>44719</v>
      </c>
      <c r="P175" s="1">
        <v>44872</v>
      </c>
      <c r="Q175" s="1">
        <v>44688</v>
      </c>
      <c r="R175" s="1">
        <v>44746</v>
      </c>
    </row>
    <row r="176" spans="1:24" hidden="1" x14ac:dyDescent="0.25">
      <c r="B176" t="s">
        <v>56</v>
      </c>
      <c r="C176" t="s">
        <v>57</v>
      </c>
      <c r="D176" t="s">
        <v>20</v>
      </c>
      <c r="E176" t="s">
        <v>58</v>
      </c>
      <c r="F176" t="s">
        <v>59</v>
      </c>
      <c r="G176" t="s">
        <v>61</v>
      </c>
      <c r="H176" t="s">
        <v>25</v>
      </c>
      <c r="J176">
        <v>1</v>
      </c>
      <c r="K176" s="1">
        <v>44664</v>
      </c>
      <c r="L176" s="1">
        <v>44671</v>
      </c>
      <c r="M176" s="1"/>
      <c r="N176" s="1">
        <v>44709</v>
      </c>
      <c r="O176" s="1">
        <v>44719</v>
      </c>
      <c r="P176" s="1">
        <v>44866</v>
      </c>
      <c r="Q176" s="1">
        <v>44689</v>
      </c>
      <c r="R176" s="1">
        <v>44749</v>
      </c>
    </row>
    <row r="177" spans="2:18" hidden="1" x14ac:dyDescent="0.25">
      <c r="B177" t="s">
        <v>56</v>
      </c>
      <c r="C177" t="s">
        <v>57</v>
      </c>
      <c r="D177" t="s">
        <v>20</v>
      </c>
      <c r="E177" t="s">
        <v>58</v>
      </c>
      <c r="F177" t="s">
        <v>59</v>
      </c>
      <c r="G177" t="s">
        <v>62</v>
      </c>
      <c r="H177" t="s">
        <v>25</v>
      </c>
      <c r="J177">
        <v>1</v>
      </c>
      <c r="K177" s="1">
        <v>44664</v>
      </c>
      <c r="L177" s="1">
        <v>44671</v>
      </c>
      <c r="M177" s="1">
        <v>44726</v>
      </c>
      <c r="N177" s="1">
        <v>44738</v>
      </c>
      <c r="O177" s="1">
        <v>44838</v>
      </c>
      <c r="P177" s="1">
        <v>44872</v>
      </c>
      <c r="Q177" s="1">
        <v>44717</v>
      </c>
      <c r="R177" s="1">
        <v>44782</v>
      </c>
    </row>
    <row r="178" spans="2:18" hidden="1" x14ac:dyDescent="0.25">
      <c r="B178" t="s">
        <v>56</v>
      </c>
      <c r="C178" t="s">
        <v>57</v>
      </c>
      <c r="D178" t="s">
        <v>20</v>
      </c>
      <c r="E178" t="s">
        <v>58</v>
      </c>
      <c r="F178" t="s">
        <v>59</v>
      </c>
      <c r="G178" t="s">
        <v>26</v>
      </c>
      <c r="H178" t="s">
        <v>25</v>
      </c>
      <c r="J178">
        <v>1</v>
      </c>
      <c r="K178" s="1">
        <v>44664</v>
      </c>
      <c r="L178" s="1">
        <v>44671</v>
      </c>
      <c r="M178" s="1">
        <v>44731</v>
      </c>
      <c r="N178" s="1">
        <v>44750</v>
      </c>
      <c r="O178" s="1">
        <v>44795</v>
      </c>
      <c r="P178" s="1">
        <v>44872</v>
      </c>
      <c r="Q178" s="1">
        <v>44726</v>
      </c>
      <c r="R178" s="1">
        <v>44794</v>
      </c>
    </row>
    <row r="179" spans="2:18" hidden="1" x14ac:dyDescent="0.25">
      <c r="B179" t="s">
        <v>56</v>
      </c>
      <c r="C179" t="s">
        <v>57</v>
      </c>
      <c r="D179" t="s">
        <v>20</v>
      </c>
      <c r="E179" t="s">
        <v>58</v>
      </c>
      <c r="F179" t="s">
        <v>59</v>
      </c>
      <c r="G179" t="s">
        <v>27</v>
      </c>
      <c r="H179" t="s">
        <v>25</v>
      </c>
      <c r="J179">
        <v>1</v>
      </c>
      <c r="K179" s="1">
        <v>44664</v>
      </c>
      <c r="L179" s="1">
        <v>44671</v>
      </c>
      <c r="M179" s="1">
        <v>44736</v>
      </c>
      <c r="N179" s="1">
        <v>44749</v>
      </c>
      <c r="O179" s="1">
        <v>44803</v>
      </c>
      <c r="P179" s="1">
        <v>44872</v>
      </c>
      <c r="Q179" s="1">
        <v>44724</v>
      </c>
      <c r="R179" s="1">
        <v>44793</v>
      </c>
    </row>
    <row r="180" spans="2:18" hidden="1" x14ac:dyDescent="0.25">
      <c r="B180" t="s">
        <v>56</v>
      </c>
      <c r="C180" t="s">
        <v>57</v>
      </c>
      <c r="D180" t="s">
        <v>20</v>
      </c>
      <c r="E180" t="s">
        <v>58</v>
      </c>
      <c r="F180" t="s">
        <v>59</v>
      </c>
      <c r="G180" t="s">
        <v>28</v>
      </c>
      <c r="H180" t="s">
        <v>25</v>
      </c>
      <c r="J180">
        <v>1</v>
      </c>
      <c r="K180" s="1">
        <v>44664</v>
      </c>
      <c r="L180" s="1">
        <v>44671</v>
      </c>
      <c r="M180" s="1">
        <v>44714</v>
      </c>
      <c r="N180" s="1">
        <v>44724</v>
      </c>
      <c r="O180" s="1">
        <v>44731</v>
      </c>
      <c r="P180" s="1">
        <v>44872</v>
      </c>
      <c r="Q180" s="1">
        <v>44703</v>
      </c>
      <c r="R180" s="1">
        <v>44765</v>
      </c>
    </row>
    <row r="181" spans="2:18" hidden="1" x14ac:dyDescent="0.25">
      <c r="B181" t="s">
        <v>56</v>
      </c>
      <c r="C181" t="s">
        <v>57</v>
      </c>
      <c r="D181" t="s">
        <v>20</v>
      </c>
      <c r="E181" t="s">
        <v>58</v>
      </c>
      <c r="F181" t="s">
        <v>59</v>
      </c>
      <c r="G181" t="s">
        <v>23</v>
      </c>
      <c r="H181" t="s">
        <v>25</v>
      </c>
      <c r="J181">
        <v>2</v>
      </c>
      <c r="K181" s="1">
        <v>44677</v>
      </c>
      <c r="L181" s="1">
        <v>44684</v>
      </c>
      <c r="M181" s="1">
        <v>44730</v>
      </c>
      <c r="N181" s="1">
        <v>44745</v>
      </c>
      <c r="O181" s="1">
        <v>44816</v>
      </c>
      <c r="P181" s="1">
        <v>44872</v>
      </c>
      <c r="Q181" s="1">
        <v>44722</v>
      </c>
      <c r="R181" s="1">
        <v>44789</v>
      </c>
    </row>
    <row r="182" spans="2:18" hidden="1" x14ac:dyDescent="0.25">
      <c r="B182" t="s">
        <v>56</v>
      </c>
      <c r="C182" t="s">
        <v>57</v>
      </c>
      <c r="D182" t="s">
        <v>20</v>
      </c>
      <c r="E182" t="s">
        <v>58</v>
      </c>
      <c r="F182" t="s">
        <v>59</v>
      </c>
      <c r="G182" t="s">
        <v>60</v>
      </c>
      <c r="H182" t="s">
        <v>25</v>
      </c>
      <c r="J182">
        <v>2</v>
      </c>
      <c r="K182" s="1">
        <v>44677</v>
      </c>
      <c r="L182" s="1">
        <v>44684</v>
      </c>
      <c r="M182" s="1">
        <v>44719</v>
      </c>
      <c r="N182" s="1">
        <v>44726</v>
      </c>
      <c r="O182" s="1">
        <v>44785</v>
      </c>
      <c r="P182" s="1">
        <v>44872</v>
      </c>
      <c r="Q182" s="1">
        <v>44704</v>
      </c>
      <c r="R182" s="1">
        <v>44768</v>
      </c>
    </row>
    <row r="183" spans="2:18" hidden="1" x14ac:dyDescent="0.25">
      <c r="B183" t="s">
        <v>56</v>
      </c>
      <c r="C183" t="s">
        <v>57</v>
      </c>
      <c r="D183" t="s">
        <v>20</v>
      </c>
      <c r="E183" t="s">
        <v>58</v>
      </c>
      <c r="F183" t="s">
        <v>59</v>
      </c>
      <c r="G183" t="s">
        <v>61</v>
      </c>
      <c r="H183" t="s">
        <v>25</v>
      </c>
      <c r="J183">
        <v>2</v>
      </c>
      <c r="K183" s="1">
        <v>44677</v>
      </c>
      <c r="L183" s="1">
        <v>44684</v>
      </c>
      <c r="M183" s="1">
        <v>44719</v>
      </c>
      <c r="N183" s="1">
        <v>44726</v>
      </c>
      <c r="O183" s="1">
        <v>44777</v>
      </c>
      <c r="P183" s="1">
        <v>44872</v>
      </c>
      <c r="Q183" s="1">
        <v>44704</v>
      </c>
      <c r="R183" s="1">
        <v>44768</v>
      </c>
    </row>
    <row r="184" spans="2:18" hidden="1" x14ac:dyDescent="0.25">
      <c r="B184" t="s">
        <v>56</v>
      </c>
      <c r="C184" t="s">
        <v>57</v>
      </c>
      <c r="D184" t="s">
        <v>20</v>
      </c>
      <c r="E184" t="s">
        <v>58</v>
      </c>
      <c r="F184" t="s">
        <v>59</v>
      </c>
      <c r="G184" t="s">
        <v>62</v>
      </c>
      <c r="H184" t="s">
        <v>25</v>
      </c>
      <c r="J184">
        <v>2</v>
      </c>
      <c r="K184" s="1">
        <v>44677</v>
      </c>
      <c r="L184" s="1">
        <v>44684</v>
      </c>
      <c r="M184" s="1">
        <v>44729</v>
      </c>
      <c r="N184" s="1">
        <v>44758</v>
      </c>
      <c r="O184" s="1">
        <v>44838</v>
      </c>
      <c r="P184" s="1">
        <v>44872</v>
      </c>
      <c r="Q184" s="1">
        <v>44733</v>
      </c>
      <c r="R184" s="1">
        <v>44803</v>
      </c>
    </row>
    <row r="185" spans="2:18" hidden="1" x14ac:dyDescent="0.25">
      <c r="B185" t="s">
        <v>56</v>
      </c>
      <c r="C185" t="s">
        <v>57</v>
      </c>
      <c r="D185" t="s">
        <v>20</v>
      </c>
      <c r="E185" t="s">
        <v>58</v>
      </c>
      <c r="F185" t="s">
        <v>59</v>
      </c>
      <c r="G185" t="s">
        <v>26</v>
      </c>
      <c r="H185" t="s">
        <v>25</v>
      </c>
      <c r="J185">
        <v>2</v>
      </c>
      <c r="K185" s="1">
        <v>44677</v>
      </c>
      <c r="L185" s="1">
        <v>44684</v>
      </c>
      <c r="M185" s="1">
        <v>44741</v>
      </c>
      <c r="N185" s="1">
        <v>44758</v>
      </c>
      <c r="O185" s="1">
        <v>44821</v>
      </c>
      <c r="P185" s="1">
        <v>44872</v>
      </c>
      <c r="Q185" s="1">
        <v>44733</v>
      </c>
      <c r="R185" s="1">
        <v>44803</v>
      </c>
    </row>
    <row r="186" spans="2:18" hidden="1" x14ac:dyDescent="0.25">
      <c r="B186" t="s">
        <v>56</v>
      </c>
      <c r="C186" t="s">
        <v>57</v>
      </c>
      <c r="D186" t="s">
        <v>20</v>
      </c>
      <c r="E186" t="s">
        <v>58</v>
      </c>
      <c r="F186" t="s">
        <v>59</v>
      </c>
      <c r="G186" t="s">
        <v>27</v>
      </c>
      <c r="H186" t="s">
        <v>25</v>
      </c>
      <c r="J186">
        <v>2</v>
      </c>
      <c r="K186" s="1">
        <v>44677</v>
      </c>
      <c r="L186" s="1">
        <v>44684</v>
      </c>
      <c r="M186" s="1">
        <v>44742</v>
      </c>
      <c r="N186" s="1">
        <v>44760</v>
      </c>
      <c r="O186" s="1">
        <v>44824</v>
      </c>
      <c r="P186" s="1">
        <v>44872</v>
      </c>
      <c r="Q186" s="1">
        <v>44734</v>
      </c>
      <c r="R186" s="1">
        <v>44806</v>
      </c>
    </row>
    <row r="187" spans="2:18" hidden="1" x14ac:dyDescent="0.25">
      <c r="B187" t="s">
        <v>56</v>
      </c>
      <c r="C187" t="s">
        <v>57</v>
      </c>
      <c r="D187" t="s">
        <v>20</v>
      </c>
      <c r="E187" t="s">
        <v>58</v>
      </c>
      <c r="F187" t="s">
        <v>59</v>
      </c>
      <c r="G187" t="s">
        <v>28</v>
      </c>
      <c r="H187" t="s">
        <v>25</v>
      </c>
      <c r="J187">
        <v>2</v>
      </c>
      <c r="K187" s="1">
        <v>44677</v>
      </c>
      <c r="L187" s="1">
        <v>44684</v>
      </c>
      <c r="M187" s="1">
        <v>44728</v>
      </c>
      <c r="N187" s="1">
        <v>44736</v>
      </c>
      <c r="O187" s="1">
        <v>44807</v>
      </c>
      <c r="P187" s="1">
        <v>44872</v>
      </c>
      <c r="Q187" s="1">
        <v>44714</v>
      </c>
      <c r="R187" s="1">
        <v>44780</v>
      </c>
    </row>
    <row r="188" spans="2:18" hidden="1" x14ac:dyDescent="0.25">
      <c r="B188" t="s">
        <v>56</v>
      </c>
      <c r="C188" t="s">
        <v>57</v>
      </c>
      <c r="D188" t="s">
        <v>20</v>
      </c>
      <c r="E188" t="s">
        <v>58</v>
      </c>
      <c r="F188" t="s">
        <v>59</v>
      </c>
      <c r="G188" t="s">
        <v>23</v>
      </c>
      <c r="H188" t="s">
        <v>25</v>
      </c>
      <c r="J188">
        <v>3</v>
      </c>
      <c r="K188" s="1">
        <v>44691</v>
      </c>
      <c r="L188" s="1">
        <v>44698</v>
      </c>
      <c r="M188" s="1">
        <v>44747</v>
      </c>
      <c r="N188" s="1">
        <v>44757</v>
      </c>
      <c r="O188" s="1">
        <v>44816</v>
      </c>
      <c r="P188" s="1">
        <v>44869</v>
      </c>
      <c r="Q188" s="1">
        <v>44732</v>
      </c>
      <c r="R188" s="1">
        <v>44802</v>
      </c>
    </row>
    <row r="189" spans="2:18" hidden="1" x14ac:dyDescent="0.25">
      <c r="B189" t="s">
        <v>56</v>
      </c>
      <c r="C189" t="s">
        <v>57</v>
      </c>
      <c r="D189" t="s">
        <v>20</v>
      </c>
      <c r="E189" t="s">
        <v>58</v>
      </c>
      <c r="F189" t="s">
        <v>59</v>
      </c>
      <c r="G189" t="s">
        <v>60</v>
      </c>
      <c r="H189" t="s">
        <v>25</v>
      </c>
      <c r="J189">
        <v>3</v>
      </c>
      <c r="K189" s="1">
        <v>44691</v>
      </c>
      <c r="L189" s="1">
        <v>44698</v>
      </c>
      <c r="M189" s="1">
        <v>44741</v>
      </c>
      <c r="N189" s="1">
        <v>44747</v>
      </c>
      <c r="O189" s="1">
        <v>44809</v>
      </c>
      <c r="P189" s="1">
        <v>44867</v>
      </c>
      <c r="Q189" s="1">
        <v>44723</v>
      </c>
      <c r="R189" s="1">
        <v>44791</v>
      </c>
    </row>
    <row r="190" spans="2:18" hidden="1" x14ac:dyDescent="0.25">
      <c r="B190" t="s">
        <v>56</v>
      </c>
      <c r="C190" t="s">
        <v>57</v>
      </c>
      <c r="D190" t="s">
        <v>20</v>
      </c>
      <c r="E190" t="s">
        <v>58</v>
      </c>
      <c r="F190" t="s">
        <v>59</v>
      </c>
      <c r="G190" t="s">
        <v>61</v>
      </c>
      <c r="H190" t="s">
        <v>25</v>
      </c>
      <c r="J190">
        <v>3</v>
      </c>
      <c r="K190" s="1">
        <v>44691</v>
      </c>
      <c r="L190" s="1">
        <v>44698</v>
      </c>
      <c r="M190" s="1">
        <v>44741</v>
      </c>
      <c r="N190" s="1">
        <v>44744</v>
      </c>
      <c r="O190" s="1">
        <v>44789</v>
      </c>
      <c r="P190" s="1">
        <v>44861</v>
      </c>
      <c r="Q190" s="1">
        <v>44721</v>
      </c>
      <c r="R190" s="1">
        <v>44789</v>
      </c>
    </row>
    <row r="191" spans="2:18" hidden="1" x14ac:dyDescent="0.25">
      <c r="B191" t="s">
        <v>56</v>
      </c>
      <c r="C191" t="s">
        <v>57</v>
      </c>
      <c r="D191" t="s">
        <v>20</v>
      </c>
      <c r="E191" t="s">
        <v>58</v>
      </c>
      <c r="F191" t="s">
        <v>59</v>
      </c>
      <c r="G191" t="s">
        <v>62</v>
      </c>
      <c r="H191" t="s">
        <v>25</v>
      </c>
      <c r="J191">
        <v>3</v>
      </c>
      <c r="K191" s="1">
        <v>44691</v>
      </c>
      <c r="L191" s="1">
        <v>44698</v>
      </c>
      <c r="M191" s="1">
        <v>44763</v>
      </c>
      <c r="N191" s="1">
        <v>44786</v>
      </c>
      <c r="O191" s="1">
        <v>44834</v>
      </c>
      <c r="P191" s="1">
        <v>44872</v>
      </c>
      <c r="Q191" s="1">
        <v>44759</v>
      </c>
      <c r="R191" s="1">
        <v>44830</v>
      </c>
    </row>
    <row r="192" spans="2:18" hidden="1" x14ac:dyDescent="0.25">
      <c r="B192" t="s">
        <v>56</v>
      </c>
      <c r="C192" t="s">
        <v>57</v>
      </c>
      <c r="D192" t="s">
        <v>20</v>
      </c>
      <c r="E192" t="s">
        <v>58</v>
      </c>
      <c r="F192" t="s">
        <v>59</v>
      </c>
      <c r="G192" t="s">
        <v>26</v>
      </c>
      <c r="H192" t="s">
        <v>25</v>
      </c>
      <c r="J192">
        <v>3</v>
      </c>
      <c r="K192" s="1">
        <v>44691</v>
      </c>
      <c r="L192" s="1">
        <v>44698</v>
      </c>
      <c r="M192" s="1">
        <v>44757</v>
      </c>
      <c r="N192" s="1">
        <v>44781</v>
      </c>
      <c r="O192" s="1">
        <v>44832</v>
      </c>
      <c r="P192" s="1">
        <v>44872</v>
      </c>
      <c r="Q192" s="1">
        <v>44755</v>
      </c>
      <c r="R192" s="1">
        <v>44825</v>
      </c>
    </row>
    <row r="193" spans="2:18" hidden="1" x14ac:dyDescent="0.25">
      <c r="B193" t="s">
        <v>56</v>
      </c>
      <c r="C193" t="s">
        <v>57</v>
      </c>
      <c r="D193" t="s">
        <v>20</v>
      </c>
      <c r="E193" t="s">
        <v>58</v>
      </c>
      <c r="F193" t="s">
        <v>59</v>
      </c>
      <c r="G193" t="s">
        <v>27</v>
      </c>
      <c r="H193" t="s">
        <v>25</v>
      </c>
      <c r="J193">
        <v>3</v>
      </c>
      <c r="K193" s="1">
        <v>44691</v>
      </c>
      <c r="L193" s="1">
        <v>44698</v>
      </c>
      <c r="M193" s="1">
        <v>44755</v>
      </c>
      <c r="N193" s="1">
        <v>44793</v>
      </c>
      <c r="O193" s="1">
        <v>44827</v>
      </c>
      <c r="P193" s="1">
        <v>44872</v>
      </c>
      <c r="Q193" s="1">
        <v>44765</v>
      </c>
      <c r="R193" s="1">
        <v>44835</v>
      </c>
    </row>
    <row r="194" spans="2:18" hidden="1" x14ac:dyDescent="0.25">
      <c r="B194" t="s">
        <v>56</v>
      </c>
      <c r="C194" t="s">
        <v>57</v>
      </c>
      <c r="D194" t="s">
        <v>20</v>
      </c>
      <c r="E194" t="s">
        <v>58</v>
      </c>
      <c r="F194" t="s">
        <v>59</v>
      </c>
      <c r="G194" t="s">
        <v>28</v>
      </c>
      <c r="H194" t="s">
        <v>25</v>
      </c>
      <c r="J194">
        <v>3</v>
      </c>
      <c r="K194" s="1">
        <v>44691</v>
      </c>
      <c r="L194" s="1">
        <v>44698</v>
      </c>
      <c r="M194" s="1">
        <v>44743</v>
      </c>
      <c r="N194" s="1">
        <v>44753</v>
      </c>
      <c r="O194" s="1">
        <v>44809</v>
      </c>
      <c r="P194" s="1">
        <v>44867</v>
      </c>
      <c r="Q194" s="1">
        <v>44728</v>
      </c>
      <c r="R194" s="1">
        <v>44798</v>
      </c>
    </row>
    <row r="195" spans="2:18" hidden="1" x14ac:dyDescent="0.25">
      <c r="B195" t="s">
        <v>56</v>
      </c>
      <c r="C195" t="s">
        <v>57</v>
      </c>
      <c r="D195" t="s">
        <v>20</v>
      </c>
      <c r="E195" t="s">
        <v>58</v>
      </c>
      <c r="F195" t="s">
        <v>59</v>
      </c>
      <c r="G195" t="s">
        <v>23</v>
      </c>
      <c r="H195" t="s">
        <v>25</v>
      </c>
      <c r="J195">
        <v>4</v>
      </c>
      <c r="K195" s="1">
        <v>44708</v>
      </c>
      <c r="L195" s="1">
        <v>44719</v>
      </c>
      <c r="M195" s="1">
        <v>44770</v>
      </c>
      <c r="N195" s="1">
        <v>44784</v>
      </c>
      <c r="O195" s="1">
        <v>44816</v>
      </c>
      <c r="P195" s="1">
        <v>44865</v>
      </c>
      <c r="Q195" s="1">
        <v>44757</v>
      </c>
      <c r="R195" s="1">
        <v>44828</v>
      </c>
    </row>
    <row r="196" spans="2:18" hidden="1" x14ac:dyDescent="0.25">
      <c r="B196" t="s">
        <v>56</v>
      </c>
      <c r="C196" t="s">
        <v>57</v>
      </c>
      <c r="D196" t="s">
        <v>20</v>
      </c>
      <c r="E196" t="s">
        <v>58</v>
      </c>
      <c r="F196" t="s">
        <v>59</v>
      </c>
      <c r="G196" t="s">
        <v>60</v>
      </c>
      <c r="H196" t="s">
        <v>25</v>
      </c>
      <c r="J196">
        <v>4</v>
      </c>
      <c r="K196" s="1">
        <v>44708</v>
      </c>
      <c r="L196" s="1">
        <v>44719</v>
      </c>
      <c r="M196" s="1">
        <v>44760</v>
      </c>
      <c r="N196" s="1">
        <v>44766</v>
      </c>
      <c r="O196" s="1">
        <v>44816</v>
      </c>
      <c r="P196" s="1">
        <v>44868</v>
      </c>
      <c r="Q196" s="1">
        <v>44740</v>
      </c>
      <c r="R196" s="1">
        <v>44812</v>
      </c>
    </row>
    <row r="197" spans="2:18" hidden="1" x14ac:dyDescent="0.25">
      <c r="B197" t="s">
        <v>56</v>
      </c>
      <c r="C197" t="s">
        <v>57</v>
      </c>
      <c r="D197" t="s">
        <v>20</v>
      </c>
      <c r="E197" t="s">
        <v>58</v>
      </c>
      <c r="F197" t="s">
        <v>59</v>
      </c>
      <c r="G197" t="s">
        <v>61</v>
      </c>
      <c r="H197" t="s">
        <v>25</v>
      </c>
      <c r="J197">
        <v>4</v>
      </c>
      <c r="K197" s="1">
        <v>44708</v>
      </c>
      <c r="L197" s="1">
        <v>44719</v>
      </c>
      <c r="M197" s="1">
        <v>44754</v>
      </c>
      <c r="N197" s="1">
        <v>44762</v>
      </c>
      <c r="O197" s="1">
        <v>44810</v>
      </c>
      <c r="P197" s="1">
        <v>44868</v>
      </c>
      <c r="Q197" s="1">
        <v>44737</v>
      </c>
      <c r="R197" s="1">
        <v>44807</v>
      </c>
    </row>
    <row r="198" spans="2:18" hidden="1" x14ac:dyDescent="0.25">
      <c r="B198" t="s">
        <v>56</v>
      </c>
      <c r="C198" t="s">
        <v>57</v>
      </c>
      <c r="D198" t="s">
        <v>20</v>
      </c>
      <c r="E198" t="s">
        <v>58</v>
      </c>
      <c r="F198" t="s">
        <v>59</v>
      </c>
      <c r="G198" t="s">
        <v>62</v>
      </c>
      <c r="H198" t="s">
        <v>25</v>
      </c>
      <c r="J198">
        <v>4</v>
      </c>
      <c r="K198" s="1">
        <v>44708</v>
      </c>
      <c r="L198" s="1">
        <v>44719</v>
      </c>
      <c r="M198" s="1">
        <v>44780</v>
      </c>
      <c r="N198" s="1">
        <v>44816</v>
      </c>
      <c r="O198" s="1">
        <v>44840</v>
      </c>
      <c r="P198" s="1">
        <v>44874</v>
      </c>
      <c r="Q198" s="1">
        <v>44790</v>
      </c>
      <c r="R198" s="1">
        <v>44855</v>
      </c>
    </row>
    <row r="199" spans="2:18" hidden="1" x14ac:dyDescent="0.25">
      <c r="B199" t="s">
        <v>56</v>
      </c>
      <c r="C199" t="s">
        <v>57</v>
      </c>
      <c r="D199" t="s">
        <v>20</v>
      </c>
      <c r="E199" t="s">
        <v>58</v>
      </c>
      <c r="F199" t="s">
        <v>59</v>
      </c>
      <c r="G199" t="s">
        <v>26</v>
      </c>
      <c r="H199" t="s">
        <v>25</v>
      </c>
      <c r="J199">
        <v>4</v>
      </c>
      <c r="K199" s="1">
        <v>44708</v>
      </c>
      <c r="L199" s="1">
        <v>44719</v>
      </c>
      <c r="M199" s="1">
        <v>44780</v>
      </c>
      <c r="N199" s="1">
        <v>44816</v>
      </c>
      <c r="O199" s="1">
        <v>44836</v>
      </c>
      <c r="P199" s="1">
        <v>44872</v>
      </c>
      <c r="Q199" s="1">
        <v>44790</v>
      </c>
      <c r="R199" s="1">
        <v>44855</v>
      </c>
    </row>
    <row r="200" spans="2:18" hidden="1" x14ac:dyDescent="0.25">
      <c r="B200" t="s">
        <v>56</v>
      </c>
      <c r="C200" t="s">
        <v>57</v>
      </c>
      <c r="D200" t="s">
        <v>20</v>
      </c>
      <c r="E200" t="s">
        <v>58</v>
      </c>
      <c r="F200" t="s">
        <v>59</v>
      </c>
      <c r="G200" t="s">
        <v>27</v>
      </c>
      <c r="H200" t="s">
        <v>25</v>
      </c>
      <c r="J200">
        <v>4</v>
      </c>
      <c r="K200" s="1">
        <v>44708</v>
      </c>
      <c r="L200" s="1">
        <v>44719</v>
      </c>
      <c r="M200" s="1">
        <v>44780</v>
      </c>
      <c r="N200" s="1">
        <v>44810</v>
      </c>
      <c r="O200" s="1">
        <v>44836</v>
      </c>
      <c r="P200" s="1">
        <v>44872</v>
      </c>
      <c r="Q200" s="1">
        <v>44783</v>
      </c>
      <c r="R200" s="1">
        <v>44851</v>
      </c>
    </row>
    <row r="201" spans="2:18" hidden="1" x14ac:dyDescent="0.25">
      <c r="B201" t="s">
        <v>56</v>
      </c>
      <c r="C201" t="s">
        <v>57</v>
      </c>
      <c r="D201" t="s">
        <v>20</v>
      </c>
      <c r="E201" t="s">
        <v>58</v>
      </c>
      <c r="F201" t="s">
        <v>59</v>
      </c>
      <c r="G201" t="s">
        <v>28</v>
      </c>
      <c r="H201" t="s">
        <v>25</v>
      </c>
      <c r="J201">
        <v>4</v>
      </c>
      <c r="K201" s="1">
        <v>44708</v>
      </c>
      <c r="L201" s="1">
        <v>44719</v>
      </c>
      <c r="M201" s="1">
        <v>44758</v>
      </c>
      <c r="N201" s="1">
        <v>44785</v>
      </c>
      <c r="O201" s="1">
        <v>44818</v>
      </c>
      <c r="P201" s="1">
        <v>44868</v>
      </c>
      <c r="Q201" s="1">
        <v>44758</v>
      </c>
      <c r="R201" s="1">
        <v>44829</v>
      </c>
    </row>
    <row r="202" spans="2:18" hidden="1" x14ac:dyDescent="0.25">
      <c r="B202" t="s">
        <v>98</v>
      </c>
      <c r="C202" t="s">
        <v>99</v>
      </c>
      <c r="D202" t="s">
        <v>38</v>
      </c>
      <c r="E202" t="s">
        <v>21</v>
      </c>
      <c r="F202" t="s">
        <v>35</v>
      </c>
      <c r="G202" t="s">
        <v>40</v>
      </c>
      <c r="H202" t="s">
        <v>24</v>
      </c>
      <c r="J202">
        <v>1</v>
      </c>
      <c r="K202" s="1">
        <v>45042</v>
      </c>
      <c r="L202" s="1">
        <v>45055</v>
      </c>
      <c r="M202" s="1">
        <v>45117</v>
      </c>
      <c r="N202" s="1">
        <v>45151</v>
      </c>
      <c r="O202" s="1">
        <v>45181</v>
      </c>
      <c r="P202" s="1">
        <v>45236</v>
      </c>
      <c r="Q202" s="1">
        <v>45118</v>
      </c>
      <c r="R202" s="1">
        <v>45194</v>
      </c>
    </row>
    <row r="203" spans="2:18" hidden="1" x14ac:dyDescent="0.25">
      <c r="B203" t="s">
        <v>98</v>
      </c>
      <c r="C203" t="s">
        <v>99</v>
      </c>
      <c r="D203" t="s">
        <v>38</v>
      </c>
      <c r="E203" t="s">
        <v>21</v>
      </c>
      <c r="F203" t="s">
        <v>35</v>
      </c>
      <c r="G203" t="s">
        <v>40</v>
      </c>
      <c r="H203" t="s">
        <v>24</v>
      </c>
      <c r="J203">
        <v>2</v>
      </c>
      <c r="K203" s="1">
        <v>45077</v>
      </c>
      <c r="L203" s="1">
        <v>45098</v>
      </c>
      <c r="M203" s="1">
        <v>45153</v>
      </c>
      <c r="N203" s="1">
        <v>45176</v>
      </c>
      <c r="O203" s="1">
        <v>45202</v>
      </c>
      <c r="P203" s="1">
        <v>45240</v>
      </c>
      <c r="Q203" s="1">
        <v>45147</v>
      </c>
      <c r="R203" s="1">
        <v>45211</v>
      </c>
    </row>
    <row r="204" spans="2:18" hidden="1" x14ac:dyDescent="0.25">
      <c r="B204" t="s">
        <v>98</v>
      </c>
      <c r="C204" t="s">
        <v>99</v>
      </c>
      <c r="D204" t="s">
        <v>38</v>
      </c>
      <c r="E204" t="s">
        <v>21</v>
      </c>
      <c r="F204" t="s">
        <v>35</v>
      </c>
      <c r="G204" t="s">
        <v>40</v>
      </c>
      <c r="H204" t="s">
        <v>25</v>
      </c>
      <c r="J204">
        <v>1</v>
      </c>
      <c r="K204" s="1">
        <v>45042</v>
      </c>
      <c r="L204" s="1">
        <v>45055</v>
      </c>
      <c r="M204" s="1">
        <v>45117</v>
      </c>
      <c r="N204" s="1">
        <v>45150</v>
      </c>
      <c r="O204" s="1">
        <v>45181</v>
      </c>
      <c r="P204" s="1">
        <v>45229</v>
      </c>
      <c r="Q204" s="1">
        <v>45117</v>
      </c>
      <c r="R204" s="1">
        <v>45194</v>
      </c>
    </row>
    <row r="205" spans="2:18" hidden="1" x14ac:dyDescent="0.25">
      <c r="B205" t="s">
        <v>98</v>
      </c>
      <c r="C205" t="s">
        <v>99</v>
      </c>
      <c r="D205" t="s">
        <v>38</v>
      </c>
      <c r="E205" t="s">
        <v>21</v>
      </c>
      <c r="F205" t="s">
        <v>35</v>
      </c>
      <c r="G205" t="s">
        <v>40</v>
      </c>
      <c r="H205" t="s">
        <v>25</v>
      </c>
      <c r="J205">
        <v>2</v>
      </c>
      <c r="K205" s="1">
        <v>45077</v>
      </c>
      <c r="L205" s="1">
        <v>45098</v>
      </c>
      <c r="M205" s="1">
        <v>45153</v>
      </c>
      <c r="N205" s="1">
        <v>45174</v>
      </c>
      <c r="O205" s="1">
        <v>45200</v>
      </c>
      <c r="P205" s="1">
        <v>45236</v>
      </c>
      <c r="Q205" s="1">
        <v>45144</v>
      </c>
      <c r="R205" s="1">
        <v>45210</v>
      </c>
    </row>
    <row r="206" spans="2:18" hidden="1" x14ac:dyDescent="0.25">
      <c r="B206" t="s">
        <v>98</v>
      </c>
      <c r="C206" t="s">
        <v>99</v>
      </c>
      <c r="D206" t="s">
        <v>38</v>
      </c>
      <c r="E206" t="s">
        <v>21</v>
      </c>
      <c r="F206" t="s">
        <v>35</v>
      </c>
      <c r="G206" t="s">
        <v>41</v>
      </c>
      <c r="H206" t="s">
        <v>24</v>
      </c>
      <c r="J206">
        <v>1</v>
      </c>
      <c r="K206" s="1">
        <v>45042</v>
      </c>
      <c r="L206" s="1">
        <v>45055</v>
      </c>
      <c r="M206" s="1">
        <v>45115</v>
      </c>
      <c r="N206" s="1">
        <v>45145</v>
      </c>
      <c r="O206" s="1">
        <v>45180</v>
      </c>
      <c r="P206" s="1">
        <v>45236</v>
      </c>
      <c r="Q206" s="1">
        <v>45112</v>
      </c>
      <c r="R206" s="1">
        <v>45190</v>
      </c>
    </row>
    <row r="207" spans="2:18" hidden="1" x14ac:dyDescent="0.25">
      <c r="B207" t="s">
        <v>98</v>
      </c>
      <c r="C207" t="s">
        <v>99</v>
      </c>
      <c r="D207" t="s">
        <v>38</v>
      </c>
      <c r="E207" t="s">
        <v>21</v>
      </c>
      <c r="F207" t="s">
        <v>35</v>
      </c>
      <c r="G207" t="s">
        <v>41</v>
      </c>
      <c r="H207" t="s">
        <v>24</v>
      </c>
      <c r="J207">
        <v>2</v>
      </c>
      <c r="K207" s="1">
        <v>45077</v>
      </c>
      <c r="L207" s="1">
        <v>45098</v>
      </c>
      <c r="M207" s="1">
        <v>45153</v>
      </c>
      <c r="N207" s="1">
        <v>45169</v>
      </c>
      <c r="O207" s="1">
        <v>45198</v>
      </c>
      <c r="P207" s="1">
        <v>45236</v>
      </c>
      <c r="Q207" s="1">
        <v>45139</v>
      </c>
      <c r="R207" s="1">
        <v>45206</v>
      </c>
    </row>
    <row r="208" spans="2:18" hidden="1" x14ac:dyDescent="0.25">
      <c r="B208" t="s">
        <v>98</v>
      </c>
      <c r="C208" t="s">
        <v>99</v>
      </c>
      <c r="D208" t="s">
        <v>38</v>
      </c>
      <c r="E208" t="s">
        <v>21</v>
      </c>
      <c r="F208" t="s">
        <v>35</v>
      </c>
      <c r="G208" t="s">
        <v>41</v>
      </c>
      <c r="H208" t="s">
        <v>25</v>
      </c>
      <c r="J208">
        <v>1</v>
      </c>
      <c r="K208" s="1">
        <v>45042</v>
      </c>
      <c r="L208" s="1">
        <v>45055</v>
      </c>
      <c r="M208" s="1">
        <v>45111</v>
      </c>
      <c r="N208" s="1">
        <v>45143</v>
      </c>
      <c r="O208" s="1">
        <v>45180</v>
      </c>
      <c r="P208" s="1">
        <v>45227</v>
      </c>
      <c r="Q208" s="1">
        <v>45110</v>
      </c>
      <c r="R208" s="1">
        <v>45189</v>
      </c>
    </row>
    <row r="209" spans="2:18" hidden="1" x14ac:dyDescent="0.25">
      <c r="B209" t="s">
        <v>98</v>
      </c>
      <c r="C209" t="s">
        <v>99</v>
      </c>
      <c r="D209" t="s">
        <v>38</v>
      </c>
      <c r="E209" t="s">
        <v>21</v>
      </c>
      <c r="F209" t="s">
        <v>35</v>
      </c>
      <c r="G209" t="s">
        <v>41</v>
      </c>
      <c r="H209" t="s">
        <v>25</v>
      </c>
      <c r="J209">
        <v>2</v>
      </c>
      <c r="K209" s="1">
        <v>45077</v>
      </c>
      <c r="L209" s="1">
        <v>45098</v>
      </c>
      <c r="M209" s="1">
        <v>45153</v>
      </c>
      <c r="N209" s="1">
        <v>45174</v>
      </c>
      <c r="O209" s="1">
        <v>45194</v>
      </c>
      <c r="P209" s="1">
        <v>45236</v>
      </c>
      <c r="Q209" s="1">
        <v>45144</v>
      </c>
      <c r="R209" s="1">
        <v>45210</v>
      </c>
    </row>
    <row r="210" spans="2:18" hidden="1" x14ac:dyDescent="0.25">
      <c r="B210" t="s">
        <v>98</v>
      </c>
      <c r="C210" t="s">
        <v>99</v>
      </c>
      <c r="D210" t="s">
        <v>38</v>
      </c>
      <c r="E210" t="s">
        <v>21</v>
      </c>
      <c r="F210" t="s">
        <v>35</v>
      </c>
      <c r="G210" t="s">
        <v>42</v>
      </c>
      <c r="H210" t="s">
        <v>24</v>
      </c>
      <c r="J210">
        <v>1</v>
      </c>
      <c r="K210" s="1">
        <v>45042</v>
      </c>
      <c r="L210" s="1">
        <v>45055</v>
      </c>
      <c r="M210" s="1">
        <v>45111</v>
      </c>
      <c r="N210" s="1">
        <v>45134</v>
      </c>
      <c r="O210" s="1">
        <v>45173</v>
      </c>
      <c r="P210" s="1">
        <v>45233</v>
      </c>
      <c r="Q210" s="1">
        <v>45097</v>
      </c>
      <c r="R210" s="1">
        <v>45183</v>
      </c>
    </row>
    <row r="211" spans="2:18" hidden="1" x14ac:dyDescent="0.25">
      <c r="B211" t="s">
        <v>98</v>
      </c>
      <c r="C211" t="s">
        <v>99</v>
      </c>
      <c r="D211" t="s">
        <v>38</v>
      </c>
      <c r="E211" t="s">
        <v>21</v>
      </c>
      <c r="F211" t="s">
        <v>35</v>
      </c>
      <c r="G211" t="s">
        <v>42</v>
      </c>
      <c r="H211" t="s">
        <v>24</v>
      </c>
      <c r="J211">
        <v>2</v>
      </c>
      <c r="K211" s="1">
        <v>45077</v>
      </c>
      <c r="L211" s="1">
        <v>45098</v>
      </c>
      <c r="M211" s="1">
        <v>45153</v>
      </c>
      <c r="N211" s="1">
        <v>45167</v>
      </c>
      <c r="O211" s="1">
        <v>45194</v>
      </c>
      <c r="P211" s="1">
        <v>45236</v>
      </c>
      <c r="Q211" s="1">
        <v>45137</v>
      </c>
      <c r="R211" s="1">
        <v>45204</v>
      </c>
    </row>
    <row r="212" spans="2:18" hidden="1" x14ac:dyDescent="0.25">
      <c r="B212" t="s">
        <v>98</v>
      </c>
      <c r="C212" t="s">
        <v>99</v>
      </c>
      <c r="D212" t="s">
        <v>38</v>
      </c>
      <c r="E212" t="s">
        <v>21</v>
      </c>
      <c r="F212" t="s">
        <v>35</v>
      </c>
      <c r="G212" t="s">
        <v>42</v>
      </c>
      <c r="H212" t="s">
        <v>25</v>
      </c>
      <c r="J212">
        <v>1</v>
      </c>
      <c r="K212" s="1">
        <v>45042</v>
      </c>
      <c r="L212" s="1">
        <v>45055</v>
      </c>
      <c r="M212" s="1">
        <v>45110</v>
      </c>
      <c r="N212" s="1">
        <v>45134</v>
      </c>
      <c r="O212" s="1">
        <v>45166</v>
      </c>
      <c r="P212" s="1">
        <v>45226</v>
      </c>
      <c r="Q212" s="1">
        <v>45097</v>
      </c>
      <c r="R212" s="1">
        <v>45183</v>
      </c>
    </row>
    <row r="213" spans="2:18" hidden="1" x14ac:dyDescent="0.25">
      <c r="B213" t="s">
        <v>98</v>
      </c>
      <c r="C213" t="s">
        <v>99</v>
      </c>
      <c r="D213" t="s">
        <v>38</v>
      </c>
      <c r="E213" t="s">
        <v>21</v>
      </c>
      <c r="F213" t="s">
        <v>35</v>
      </c>
      <c r="G213" t="s">
        <v>42</v>
      </c>
      <c r="H213" t="s">
        <v>25</v>
      </c>
      <c r="J213">
        <v>2</v>
      </c>
      <c r="K213" s="1">
        <v>45077</v>
      </c>
      <c r="L213" s="1">
        <v>45098</v>
      </c>
      <c r="M213" s="1">
        <v>45153</v>
      </c>
      <c r="N213" s="1">
        <v>45169</v>
      </c>
      <c r="O213" s="1">
        <v>45192</v>
      </c>
      <c r="P213" s="1">
        <v>45234</v>
      </c>
      <c r="Q213" s="1">
        <v>45139</v>
      </c>
      <c r="R213" s="1">
        <v>45206</v>
      </c>
    </row>
    <row r="214" spans="2:18" hidden="1" x14ac:dyDescent="0.25">
      <c r="B214" t="s">
        <v>98</v>
      </c>
      <c r="C214" t="s">
        <v>99</v>
      </c>
      <c r="D214" t="s">
        <v>38</v>
      </c>
      <c r="E214" t="s">
        <v>21</v>
      </c>
      <c r="F214" t="s">
        <v>35</v>
      </c>
      <c r="G214" t="s">
        <v>43</v>
      </c>
      <c r="H214" t="s">
        <v>24</v>
      </c>
      <c r="J214">
        <v>1</v>
      </c>
      <c r="K214" s="1">
        <v>45042</v>
      </c>
      <c r="L214" s="1">
        <v>45055</v>
      </c>
      <c r="M214" s="1">
        <v>45117</v>
      </c>
      <c r="N214" s="1">
        <v>45153</v>
      </c>
      <c r="O214" s="1">
        <v>45188</v>
      </c>
      <c r="P214" s="1">
        <v>45236</v>
      </c>
      <c r="Q214" s="1">
        <v>45120</v>
      </c>
      <c r="R214" s="1">
        <v>45196</v>
      </c>
    </row>
    <row r="215" spans="2:18" hidden="1" x14ac:dyDescent="0.25">
      <c r="B215" t="s">
        <v>98</v>
      </c>
      <c r="C215" t="s">
        <v>99</v>
      </c>
      <c r="D215" t="s">
        <v>38</v>
      </c>
      <c r="E215" t="s">
        <v>21</v>
      </c>
      <c r="F215" t="s">
        <v>35</v>
      </c>
      <c r="G215" t="s">
        <v>43</v>
      </c>
      <c r="H215" t="s">
        <v>24</v>
      </c>
      <c r="J215">
        <v>2</v>
      </c>
      <c r="K215" s="1">
        <v>45077</v>
      </c>
      <c r="L215" s="1">
        <v>45098</v>
      </c>
      <c r="M215" s="1">
        <v>45153</v>
      </c>
      <c r="N215" s="1">
        <v>45177</v>
      </c>
      <c r="O215" s="1">
        <v>45200</v>
      </c>
      <c r="P215" s="1">
        <v>45240</v>
      </c>
      <c r="Q215" s="1">
        <v>45148</v>
      </c>
      <c r="R215" s="1">
        <v>45212</v>
      </c>
    </row>
    <row r="216" spans="2:18" hidden="1" x14ac:dyDescent="0.25">
      <c r="B216" t="s">
        <v>98</v>
      </c>
      <c r="C216" t="s">
        <v>99</v>
      </c>
      <c r="D216" t="s">
        <v>38</v>
      </c>
      <c r="E216" t="s">
        <v>21</v>
      </c>
      <c r="F216" t="s">
        <v>35</v>
      </c>
      <c r="G216" t="s">
        <v>43</v>
      </c>
      <c r="H216" t="s">
        <v>25</v>
      </c>
      <c r="J216">
        <v>1</v>
      </c>
      <c r="K216" s="1">
        <v>45042</v>
      </c>
      <c r="L216" s="1">
        <v>45055</v>
      </c>
      <c r="M216" s="1">
        <v>45117</v>
      </c>
      <c r="N216" s="1">
        <v>45153</v>
      </c>
      <c r="O216" s="1">
        <v>45187</v>
      </c>
      <c r="P216" s="1">
        <v>45229</v>
      </c>
      <c r="Q216" s="1">
        <v>45120</v>
      </c>
      <c r="R216" s="1">
        <v>45196</v>
      </c>
    </row>
    <row r="217" spans="2:18" hidden="1" x14ac:dyDescent="0.25">
      <c r="B217" t="s">
        <v>98</v>
      </c>
      <c r="C217" t="s">
        <v>99</v>
      </c>
      <c r="D217" t="s">
        <v>38</v>
      </c>
      <c r="E217" t="s">
        <v>21</v>
      </c>
      <c r="F217" t="s">
        <v>35</v>
      </c>
      <c r="G217" t="s">
        <v>43</v>
      </c>
      <c r="H217" t="s">
        <v>25</v>
      </c>
      <c r="J217">
        <v>2</v>
      </c>
      <c r="K217" s="1">
        <v>45077</v>
      </c>
      <c r="L217" s="1">
        <v>45098</v>
      </c>
      <c r="M217" s="1">
        <v>45153</v>
      </c>
      <c r="N217" s="1">
        <v>45175</v>
      </c>
      <c r="O217" s="1">
        <v>45202</v>
      </c>
      <c r="P217" s="1">
        <v>45236</v>
      </c>
      <c r="Q217" s="1">
        <v>45145</v>
      </c>
      <c r="R217" s="1">
        <v>45210</v>
      </c>
    </row>
    <row r="218" spans="2:18" hidden="1" x14ac:dyDescent="0.25">
      <c r="B218" t="s">
        <v>100</v>
      </c>
      <c r="C218" t="s">
        <v>101</v>
      </c>
      <c r="D218" t="s">
        <v>102</v>
      </c>
      <c r="E218" t="s">
        <v>21</v>
      </c>
      <c r="F218" t="s">
        <v>35</v>
      </c>
      <c r="G218" t="s">
        <v>103</v>
      </c>
      <c r="H218" t="s">
        <v>24</v>
      </c>
      <c r="J218">
        <v>1</v>
      </c>
      <c r="K218" s="1">
        <v>45042</v>
      </c>
      <c r="L218" s="1">
        <v>45051</v>
      </c>
      <c r="M218" s="1">
        <v>45125</v>
      </c>
      <c r="N218" s="1">
        <v>45151</v>
      </c>
      <c r="O218" s="1">
        <v>45166</v>
      </c>
      <c r="P218" s="1">
        <v>45238</v>
      </c>
      <c r="Q218" s="1">
        <v>45118</v>
      </c>
      <c r="R218" s="1">
        <v>45194</v>
      </c>
    </row>
    <row r="219" spans="2:18" hidden="1" x14ac:dyDescent="0.25">
      <c r="B219" t="s">
        <v>100</v>
      </c>
      <c r="C219" t="s">
        <v>101</v>
      </c>
      <c r="D219" t="s">
        <v>102</v>
      </c>
      <c r="E219" t="s">
        <v>21</v>
      </c>
      <c r="F219" t="s">
        <v>35</v>
      </c>
      <c r="G219" t="s">
        <v>103</v>
      </c>
      <c r="H219" t="s">
        <v>24</v>
      </c>
      <c r="J219">
        <v>2</v>
      </c>
      <c r="K219" s="1">
        <v>45077</v>
      </c>
      <c r="L219" s="1">
        <v>45091</v>
      </c>
      <c r="M219" s="1">
        <v>45160</v>
      </c>
      <c r="N219" s="1">
        <v>45181</v>
      </c>
      <c r="O219" s="1">
        <v>45190</v>
      </c>
      <c r="P219" s="1">
        <v>45243</v>
      </c>
      <c r="Q219" s="1">
        <v>45151</v>
      </c>
      <c r="R219" s="1">
        <v>45214</v>
      </c>
    </row>
    <row r="220" spans="2:18" hidden="1" x14ac:dyDescent="0.25">
      <c r="B220" t="s">
        <v>100</v>
      </c>
      <c r="C220" t="s">
        <v>101</v>
      </c>
      <c r="D220" t="s">
        <v>102</v>
      </c>
      <c r="E220" t="s">
        <v>21</v>
      </c>
      <c r="F220" t="s">
        <v>35</v>
      </c>
      <c r="G220" t="s">
        <v>103</v>
      </c>
      <c r="H220" t="s">
        <v>25</v>
      </c>
      <c r="J220">
        <v>1</v>
      </c>
      <c r="K220" s="1">
        <v>45042</v>
      </c>
      <c r="L220" s="1">
        <v>45051</v>
      </c>
      <c r="M220" s="1">
        <v>45125</v>
      </c>
      <c r="N220" s="1">
        <v>45153</v>
      </c>
      <c r="O220" s="1">
        <v>45166</v>
      </c>
      <c r="P220" s="1">
        <v>45236</v>
      </c>
      <c r="Q220" s="1">
        <v>45120</v>
      </c>
      <c r="R220" s="1">
        <v>45196</v>
      </c>
    </row>
    <row r="221" spans="2:18" hidden="1" x14ac:dyDescent="0.25">
      <c r="B221" t="s">
        <v>100</v>
      </c>
      <c r="C221" t="s">
        <v>101</v>
      </c>
      <c r="D221" t="s">
        <v>102</v>
      </c>
      <c r="E221" t="s">
        <v>21</v>
      </c>
      <c r="F221" t="s">
        <v>35</v>
      </c>
      <c r="G221" t="s">
        <v>103</v>
      </c>
      <c r="H221" t="s">
        <v>25</v>
      </c>
      <c r="J221">
        <v>2</v>
      </c>
      <c r="K221" s="1">
        <v>45077</v>
      </c>
      <c r="L221" s="1">
        <v>45091</v>
      </c>
      <c r="M221" s="1">
        <v>45159</v>
      </c>
      <c r="N221" s="1">
        <v>45180</v>
      </c>
      <c r="O221" s="1">
        <v>45192</v>
      </c>
      <c r="P221" s="1">
        <v>45238</v>
      </c>
      <c r="Q221" s="1">
        <v>45150</v>
      </c>
      <c r="R221" s="1">
        <v>45214</v>
      </c>
    </row>
    <row r="222" spans="2:18" hidden="1" x14ac:dyDescent="0.25">
      <c r="B222" t="s">
        <v>100</v>
      </c>
      <c r="C222" t="s">
        <v>101</v>
      </c>
      <c r="D222" t="s">
        <v>102</v>
      </c>
      <c r="E222" t="s">
        <v>21</v>
      </c>
      <c r="F222" t="s">
        <v>35</v>
      </c>
      <c r="G222" t="s">
        <v>104</v>
      </c>
      <c r="H222" t="s">
        <v>24</v>
      </c>
      <c r="J222">
        <v>1</v>
      </c>
      <c r="K222" s="1">
        <v>45042</v>
      </c>
      <c r="L222" s="1">
        <v>45051</v>
      </c>
      <c r="M222" s="1">
        <v>45125</v>
      </c>
      <c r="N222" s="1">
        <v>45151</v>
      </c>
      <c r="O222" s="1">
        <v>45166</v>
      </c>
      <c r="P222" s="1">
        <v>45240</v>
      </c>
      <c r="Q222" s="1">
        <v>45118</v>
      </c>
      <c r="R222" s="1">
        <v>45194</v>
      </c>
    </row>
    <row r="223" spans="2:18" hidden="1" x14ac:dyDescent="0.25">
      <c r="B223" t="s">
        <v>100</v>
      </c>
      <c r="C223" t="s">
        <v>101</v>
      </c>
      <c r="D223" t="s">
        <v>102</v>
      </c>
      <c r="E223" t="s">
        <v>21</v>
      </c>
      <c r="F223" t="s">
        <v>35</v>
      </c>
      <c r="G223" t="s">
        <v>104</v>
      </c>
      <c r="H223" t="s">
        <v>24</v>
      </c>
      <c r="J223">
        <v>2</v>
      </c>
      <c r="K223" s="1">
        <v>45077</v>
      </c>
      <c r="L223" s="1">
        <v>45091</v>
      </c>
      <c r="M223" s="1">
        <v>45159</v>
      </c>
      <c r="N223" s="1">
        <v>45181</v>
      </c>
      <c r="O223" s="1">
        <v>45192</v>
      </c>
      <c r="P223" s="1">
        <v>45243</v>
      </c>
      <c r="Q223" s="1">
        <v>45151</v>
      </c>
      <c r="R223" s="1">
        <v>45214</v>
      </c>
    </row>
    <row r="224" spans="2:18" hidden="1" x14ac:dyDescent="0.25">
      <c r="B224" t="s">
        <v>100</v>
      </c>
      <c r="C224" t="s">
        <v>101</v>
      </c>
      <c r="D224" t="s">
        <v>102</v>
      </c>
      <c r="E224" t="s">
        <v>21</v>
      </c>
      <c r="F224" t="s">
        <v>35</v>
      </c>
      <c r="G224" t="s">
        <v>104</v>
      </c>
      <c r="H224" t="s">
        <v>25</v>
      </c>
      <c r="J224">
        <v>1</v>
      </c>
      <c r="K224" s="1">
        <v>45042</v>
      </c>
      <c r="L224" s="1">
        <v>45051</v>
      </c>
      <c r="M224" s="1">
        <v>45125</v>
      </c>
      <c r="N224" s="1">
        <v>45153</v>
      </c>
      <c r="O224" s="1">
        <v>45169</v>
      </c>
      <c r="P224" s="1">
        <v>45236</v>
      </c>
      <c r="Q224" s="1">
        <v>45120</v>
      </c>
      <c r="R224" s="1">
        <v>45196</v>
      </c>
    </row>
    <row r="225" spans="2:18" hidden="1" x14ac:dyDescent="0.25">
      <c r="B225" t="s">
        <v>100</v>
      </c>
      <c r="C225" t="s">
        <v>101</v>
      </c>
      <c r="D225" t="s">
        <v>102</v>
      </c>
      <c r="E225" t="s">
        <v>21</v>
      </c>
      <c r="F225" t="s">
        <v>35</v>
      </c>
      <c r="G225" t="s">
        <v>104</v>
      </c>
      <c r="H225" t="s">
        <v>25</v>
      </c>
      <c r="J225">
        <v>2</v>
      </c>
      <c r="K225" s="1">
        <v>45077</v>
      </c>
      <c r="L225" s="1">
        <v>45091</v>
      </c>
      <c r="M225" s="1">
        <v>45159</v>
      </c>
      <c r="N225" s="1">
        <v>45181</v>
      </c>
      <c r="O225" s="1">
        <v>45189</v>
      </c>
      <c r="P225" s="1">
        <v>45237</v>
      </c>
      <c r="Q225" s="1">
        <v>45151</v>
      </c>
      <c r="R225" s="1">
        <v>45214</v>
      </c>
    </row>
    <row r="226" spans="2:18" hidden="1" x14ac:dyDescent="0.25">
      <c r="B226" t="s">
        <v>100</v>
      </c>
      <c r="C226" t="s">
        <v>101</v>
      </c>
      <c r="D226" t="s">
        <v>102</v>
      </c>
      <c r="E226" t="s">
        <v>21</v>
      </c>
      <c r="F226" t="s">
        <v>35</v>
      </c>
      <c r="G226" t="s">
        <v>105</v>
      </c>
      <c r="H226" t="s">
        <v>24</v>
      </c>
      <c r="J226">
        <v>1</v>
      </c>
      <c r="K226" s="1">
        <v>45042</v>
      </c>
      <c r="L226" s="1">
        <v>45051</v>
      </c>
      <c r="M226" s="1">
        <v>45125</v>
      </c>
      <c r="N226" s="1">
        <v>45153</v>
      </c>
      <c r="O226" s="1">
        <v>45169</v>
      </c>
      <c r="P226" s="1">
        <v>45243</v>
      </c>
      <c r="Q226" s="1">
        <v>45120</v>
      </c>
      <c r="R226" s="1">
        <v>45196</v>
      </c>
    </row>
    <row r="227" spans="2:18" hidden="1" x14ac:dyDescent="0.25">
      <c r="B227" t="s">
        <v>100</v>
      </c>
      <c r="C227" t="s">
        <v>101</v>
      </c>
      <c r="D227" t="s">
        <v>102</v>
      </c>
      <c r="E227" t="s">
        <v>21</v>
      </c>
      <c r="F227" t="s">
        <v>35</v>
      </c>
      <c r="G227" t="s">
        <v>105</v>
      </c>
      <c r="H227" t="s">
        <v>24</v>
      </c>
      <c r="J227">
        <v>2</v>
      </c>
      <c r="K227" s="1">
        <v>45077</v>
      </c>
      <c r="L227" s="1">
        <v>45091</v>
      </c>
      <c r="M227" s="1">
        <v>45160</v>
      </c>
      <c r="N227" s="1">
        <v>45180</v>
      </c>
      <c r="O227" s="1">
        <v>45188</v>
      </c>
      <c r="P227" s="1">
        <v>45245</v>
      </c>
      <c r="Q227" s="1">
        <v>45150</v>
      </c>
      <c r="R227" s="1">
        <v>45214</v>
      </c>
    </row>
    <row r="228" spans="2:18" hidden="1" x14ac:dyDescent="0.25">
      <c r="B228" t="s">
        <v>100</v>
      </c>
      <c r="C228" t="s">
        <v>101</v>
      </c>
      <c r="D228" t="s">
        <v>102</v>
      </c>
      <c r="E228" t="s">
        <v>21</v>
      </c>
      <c r="F228" t="s">
        <v>35</v>
      </c>
      <c r="G228" t="s">
        <v>105</v>
      </c>
      <c r="H228" t="s">
        <v>25</v>
      </c>
      <c r="J228">
        <v>1</v>
      </c>
      <c r="K228" s="1">
        <v>45042</v>
      </c>
      <c r="L228" s="1">
        <v>45051</v>
      </c>
      <c r="M228" s="1">
        <v>45125</v>
      </c>
      <c r="N228" s="1">
        <v>45153</v>
      </c>
      <c r="O228" s="1">
        <v>45167</v>
      </c>
      <c r="P228" s="1">
        <v>45236</v>
      </c>
      <c r="Q228" s="1">
        <v>45120</v>
      </c>
      <c r="R228" s="1">
        <v>45196</v>
      </c>
    </row>
    <row r="229" spans="2:18" hidden="1" x14ac:dyDescent="0.25">
      <c r="B229" t="s">
        <v>100</v>
      </c>
      <c r="C229" t="s">
        <v>101</v>
      </c>
      <c r="D229" t="s">
        <v>102</v>
      </c>
      <c r="E229" t="s">
        <v>21</v>
      </c>
      <c r="F229" t="s">
        <v>35</v>
      </c>
      <c r="G229" t="s">
        <v>105</v>
      </c>
      <c r="H229" t="s">
        <v>25</v>
      </c>
      <c r="J229">
        <v>2</v>
      </c>
      <c r="K229" s="1">
        <v>45077</v>
      </c>
      <c r="L229" s="1">
        <v>45091</v>
      </c>
      <c r="M229" s="1">
        <v>45159</v>
      </c>
      <c r="N229" s="1">
        <v>45180</v>
      </c>
      <c r="O229" s="1">
        <v>45188</v>
      </c>
      <c r="P229" s="1">
        <v>45240</v>
      </c>
      <c r="Q229" s="1">
        <v>45150</v>
      </c>
      <c r="R229" s="1">
        <v>45214</v>
      </c>
    </row>
    <row r="230" spans="2:18" hidden="1" x14ac:dyDescent="0.25">
      <c r="B230" t="s">
        <v>100</v>
      </c>
      <c r="C230" t="s">
        <v>101</v>
      </c>
      <c r="D230" t="s">
        <v>102</v>
      </c>
      <c r="E230" t="s">
        <v>21</v>
      </c>
      <c r="F230" t="s">
        <v>35</v>
      </c>
      <c r="G230" t="s">
        <v>106</v>
      </c>
      <c r="H230" t="s">
        <v>24</v>
      </c>
      <c r="J230">
        <v>1</v>
      </c>
      <c r="K230" s="1">
        <v>45042</v>
      </c>
      <c r="L230" s="1">
        <v>45051</v>
      </c>
      <c r="M230" s="1">
        <v>45130</v>
      </c>
      <c r="N230" s="1">
        <v>45159</v>
      </c>
      <c r="O230" s="1">
        <v>45173</v>
      </c>
      <c r="P230" s="1">
        <v>45243</v>
      </c>
      <c r="Q230" s="1">
        <v>45127</v>
      </c>
      <c r="R230" s="1">
        <v>45199</v>
      </c>
    </row>
    <row r="231" spans="2:18" hidden="1" x14ac:dyDescent="0.25">
      <c r="B231" t="s">
        <v>100</v>
      </c>
      <c r="C231" t="s">
        <v>101</v>
      </c>
      <c r="D231" t="s">
        <v>102</v>
      </c>
      <c r="E231" t="s">
        <v>21</v>
      </c>
      <c r="F231" t="s">
        <v>35</v>
      </c>
      <c r="G231" t="s">
        <v>106</v>
      </c>
      <c r="H231" t="s">
        <v>24</v>
      </c>
      <c r="J231">
        <v>2</v>
      </c>
      <c r="K231" s="1">
        <v>45077</v>
      </c>
      <c r="L231" s="1">
        <v>45091</v>
      </c>
      <c r="M231" s="1">
        <v>45162</v>
      </c>
      <c r="N231" s="1">
        <v>45187</v>
      </c>
      <c r="O231" s="1">
        <v>45194</v>
      </c>
      <c r="P231" s="1">
        <v>45247</v>
      </c>
      <c r="Q231" s="1">
        <v>45161</v>
      </c>
      <c r="R231" s="1">
        <v>45220</v>
      </c>
    </row>
    <row r="232" spans="2:18" hidden="1" x14ac:dyDescent="0.25">
      <c r="B232" t="s">
        <v>100</v>
      </c>
      <c r="C232" t="s">
        <v>101</v>
      </c>
      <c r="D232" t="s">
        <v>102</v>
      </c>
      <c r="E232" t="s">
        <v>21</v>
      </c>
      <c r="F232" t="s">
        <v>35</v>
      </c>
      <c r="G232" t="s">
        <v>106</v>
      </c>
      <c r="H232" t="s">
        <v>25</v>
      </c>
      <c r="J232">
        <v>1</v>
      </c>
      <c r="K232" s="1">
        <v>45042</v>
      </c>
      <c r="L232" s="1">
        <v>45051</v>
      </c>
      <c r="M232" s="1">
        <v>45127</v>
      </c>
      <c r="N232" s="1">
        <v>45160</v>
      </c>
      <c r="O232" s="1">
        <v>45169</v>
      </c>
      <c r="P232" s="1">
        <v>45238</v>
      </c>
      <c r="Q232" s="1">
        <v>45129</v>
      </c>
      <c r="R232" s="1">
        <v>45200</v>
      </c>
    </row>
    <row r="233" spans="2:18" hidden="1" x14ac:dyDescent="0.25">
      <c r="B233" t="s">
        <v>100</v>
      </c>
      <c r="C233" t="s">
        <v>101</v>
      </c>
      <c r="D233" t="s">
        <v>102</v>
      </c>
      <c r="E233" t="s">
        <v>21</v>
      </c>
      <c r="F233" t="s">
        <v>35</v>
      </c>
      <c r="G233" t="s">
        <v>106</v>
      </c>
      <c r="H233" t="s">
        <v>25</v>
      </c>
      <c r="J233">
        <v>2</v>
      </c>
      <c r="K233" s="1">
        <v>45077</v>
      </c>
      <c r="L233" s="1">
        <v>45091</v>
      </c>
      <c r="M233" s="1">
        <v>45162</v>
      </c>
      <c r="N233" s="1">
        <v>45187</v>
      </c>
      <c r="O233" s="1">
        <v>45194</v>
      </c>
      <c r="P233" s="1">
        <v>45243</v>
      </c>
      <c r="Q233" s="1">
        <v>45161</v>
      </c>
      <c r="R233" s="1">
        <v>45220</v>
      </c>
    </row>
    <row r="234" spans="2:18" hidden="1" x14ac:dyDescent="0.25">
      <c r="B234" t="s">
        <v>107</v>
      </c>
      <c r="C234" t="s">
        <v>108</v>
      </c>
      <c r="D234" t="s">
        <v>20</v>
      </c>
      <c r="E234" t="s">
        <v>21</v>
      </c>
      <c r="F234" t="s">
        <v>22</v>
      </c>
      <c r="G234" t="s">
        <v>23</v>
      </c>
      <c r="H234" t="s">
        <v>24</v>
      </c>
      <c r="J234">
        <v>1</v>
      </c>
      <c r="K234" s="1">
        <v>45072</v>
      </c>
      <c r="L234" s="1">
        <v>45092</v>
      </c>
      <c r="M234" s="1">
        <v>45142</v>
      </c>
      <c r="N234" s="1">
        <v>45147</v>
      </c>
      <c r="O234" s="1">
        <v>45167</v>
      </c>
      <c r="P234" s="1">
        <v>45205</v>
      </c>
      <c r="Q234" s="1">
        <v>45119</v>
      </c>
      <c r="R234" s="1">
        <v>45185</v>
      </c>
    </row>
    <row r="235" spans="2:18" hidden="1" x14ac:dyDescent="0.25">
      <c r="B235" t="s">
        <v>107</v>
      </c>
      <c r="C235" t="s">
        <v>108</v>
      </c>
      <c r="D235" t="s">
        <v>20</v>
      </c>
      <c r="E235" t="s">
        <v>21</v>
      </c>
      <c r="F235" t="s">
        <v>22</v>
      </c>
      <c r="G235" t="s">
        <v>23</v>
      </c>
      <c r="H235" t="s">
        <v>24</v>
      </c>
      <c r="J235">
        <v>2</v>
      </c>
      <c r="K235" s="1">
        <v>45110</v>
      </c>
      <c r="L235" s="1">
        <v>45119</v>
      </c>
      <c r="M235" s="1">
        <v>45167</v>
      </c>
      <c r="N235" s="1">
        <v>45167</v>
      </c>
      <c r="O235" s="1">
        <v>45191</v>
      </c>
      <c r="P235" s="1">
        <v>45209</v>
      </c>
      <c r="Q235" s="1">
        <v>45143</v>
      </c>
      <c r="R235" s="1">
        <v>45202</v>
      </c>
    </row>
    <row r="236" spans="2:18" hidden="1" x14ac:dyDescent="0.25">
      <c r="B236" t="s">
        <v>107</v>
      </c>
      <c r="C236" t="s">
        <v>108</v>
      </c>
      <c r="D236" t="s">
        <v>20</v>
      </c>
      <c r="E236" t="s">
        <v>21</v>
      </c>
      <c r="F236" t="s">
        <v>22</v>
      </c>
      <c r="G236" t="s">
        <v>23</v>
      </c>
      <c r="H236" t="s">
        <v>25</v>
      </c>
      <c r="J236">
        <v>1</v>
      </c>
      <c r="K236" s="1">
        <v>45072</v>
      </c>
      <c r="L236" s="1">
        <v>45092</v>
      </c>
      <c r="M236" s="1">
        <v>45142</v>
      </c>
      <c r="N236" s="1">
        <v>45147</v>
      </c>
      <c r="O236" s="1">
        <v>45155</v>
      </c>
      <c r="P236" s="1">
        <v>45198</v>
      </c>
      <c r="Q236" s="1">
        <v>45119</v>
      </c>
      <c r="R236" s="1">
        <v>45185</v>
      </c>
    </row>
    <row r="237" spans="2:18" hidden="1" x14ac:dyDescent="0.25">
      <c r="B237" t="s">
        <v>107</v>
      </c>
      <c r="C237" t="s">
        <v>108</v>
      </c>
      <c r="D237" t="s">
        <v>20</v>
      </c>
      <c r="E237" t="s">
        <v>21</v>
      </c>
      <c r="F237" t="s">
        <v>22</v>
      </c>
      <c r="G237" t="s">
        <v>23</v>
      </c>
      <c r="H237" t="s">
        <v>25</v>
      </c>
      <c r="J237">
        <v>2</v>
      </c>
      <c r="K237" s="1">
        <v>45110</v>
      </c>
      <c r="L237" s="1">
        <v>45119</v>
      </c>
      <c r="M237" s="1">
        <v>45167</v>
      </c>
      <c r="N237" s="1">
        <v>45168</v>
      </c>
      <c r="O237" s="1">
        <v>45184</v>
      </c>
      <c r="P237" s="1">
        <v>45212</v>
      </c>
      <c r="Q237" s="1">
        <v>45144</v>
      </c>
      <c r="R237" s="1">
        <v>45202</v>
      </c>
    </row>
    <row r="238" spans="2:18" hidden="1" x14ac:dyDescent="0.25">
      <c r="B238" t="s">
        <v>107</v>
      </c>
      <c r="C238" t="s">
        <v>108</v>
      </c>
      <c r="D238" t="s">
        <v>20</v>
      </c>
      <c r="E238" t="s">
        <v>21</v>
      </c>
      <c r="F238" t="s">
        <v>22</v>
      </c>
      <c r="G238" t="s">
        <v>26</v>
      </c>
      <c r="H238" t="s">
        <v>24</v>
      </c>
      <c r="J238">
        <v>1</v>
      </c>
      <c r="K238" s="1">
        <v>45072</v>
      </c>
      <c r="L238" s="1">
        <v>45092</v>
      </c>
      <c r="M238" s="1">
        <v>45147</v>
      </c>
      <c r="N238" s="1">
        <v>45158</v>
      </c>
      <c r="O238" s="1">
        <v>45173</v>
      </c>
      <c r="P238" s="1">
        <v>45205</v>
      </c>
      <c r="Q238" s="1">
        <v>45133</v>
      </c>
      <c r="R238" s="1">
        <v>45195</v>
      </c>
    </row>
    <row r="239" spans="2:18" hidden="1" x14ac:dyDescent="0.25">
      <c r="B239" t="s">
        <v>107</v>
      </c>
      <c r="C239" t="s">
        <v>108</v>
      </c>
      <c r="D239" t="s">
        <v>20</v>
      </c>
      <c r="E239" t="s">
        <v>21</v>
      </c>
      <c r="F239" t="s">
        <v>22</v>
      </c>
      <c r="G239" t="s">
        <v>26</v>
      </c>
      <c r="H239" t="s">
        <v>24</v>
      </c>
      <c r="J239">
        <v>2</v>
      </c>
      <c r="K239" s="1">
        <v>45110</v>
      </c>
      <c r="L239" s="1">
        <v>45119</v>
      </c>
      <c r="M239" s="1">
        <v>45167</v>
      </c>
      <c r="N239" s="1">
        <v>45173</v>
      </c>
      <c r="O239" s="1">
        <v>45198</v>
      </c>
      <c r="P239" s="1">
        <v>45209</v>
      </c>
      <c r="Q239" s="1">
        <v>45151</v>
      </c>
      <c r="R239" s="1">
        <v>45207</v>
      </c>
    </row>
    <row r="240" spans="2:18" hidden="1" x14ac:dyDescent="0.25">
      <c r="B240" t="s">
        <v>107</v>
      </c>
      <c r="C240" t="s">
        <v>108</v>
      </c>
      <c r="D240" t="s">
        <v>20</v>
      </c>
      <c r="E240" t="s">
        <v>21</v>
      </c>
      <c r="F240" t="s">
        <v>22</v>
      </c>
      <c r="G240" t="s">
        <v>26</v>
      </c>
      <c r="H240" t="s">
        <v>25</v>
      </c>
      <c r="J240">
        <v>1</v>
      </c>
      <c r="K240" s="1">
        <v>45072</v>
      </c>
      <c r="L240" s="1">
        <v>45092</v>
      </c>
      <c r="M240" s="1">
        <v>45145</v>
      </c>
      <c r="N240" s="1">
        <v>45150</v>
      </c>
      <c r="O240" s="1">
        <v>45163</v>
      </c>
      <c r="P240" s="1">
        <v>45198</v>
      </c>
      <c r="Q240" s="1">
        <v>45123</v>
      </c>
      <c r="R240" s="1">
        <v>45187</v>
      </c>
    </row>
    <row r="241" spans="2:18" hidden="1" x14ac:dyDescent="0.25">
      <c r="B241" t="s">
        <v>107</v>
      </c>
      <c r="C241" t="s">
        <v>108</v>
      </c>
      <c r="D241" t="s">
        <v>20</v>
      </c>
      <c r="E241" t="s">
        <v>21</v>
      </c>
      <c r="F241" t="s">
        <v>22</v>
      </c>
      <c r="G241" t="s">
        <v>26</v>
      </c>
      <c r="H241" t="s">
        <v>25</v>
      </c>
      <c r="J241">
        <v>2</v>
      </c>
      <c r="K241" s="1">
        <v>45110</v>
      </c>
      <c r="L241" s="1">
        <v>45119</v>
      </c>
      <c r="M241" s="1">
        <v>45167</v>
      </c>
      <c r="N241" s="1">
        <v>45171</v>
      </c>
      <c r="O241" s="1">
        <v>45184</v>
      </c>
      <c r="P241" s="1">
        <v>45214</v>
      </c>
      <c r="Q241" s="1">
        <v>45148</v>
      </c>
      <c r="R241" s="1">
        <v>45205</v>
      </c>
    </row>
    <row r="242" spans="2:18" hidden="1" x14ac:dyDescent="0.25">
      <c r="B242" t="s">
        <v>107</v>
      </c>
      <c r="C242" t="s">
        <v>108</v>
      </c>
      <c r="D242" t="s">
        <v>20</v>
      </c>
      <c r="E242" t="s">
        <v>21</v>
      </c>
      <c r="F242" t="s">
        <v>22</v>
      </c>
      <c r="G242" t="s">
        <v>27</v>
      </c>
      <c r="H242" t="s">
        <v>24</v>
      </c>
      <c r="J242">
        <v>1</v>
      </c>
      <c r="K242" s="1">
        <v>45072</v>
      </c>
      <c r="L242" s="1">
        <v>45092</v>
      </c>
      <c r="M242" s="1">
        <v>45147</v>
      </c>
      <c r="N242" s="1">
        <v>45154</v>
      </c>
      <c r="O242" s="1">
        <v>45177</v>
      </c>
      <c r="P242" s="1">
        <v>45205</v>
      </c>
      <c r="Q242" s="1">
        <v>45127</v>
      </c>
      <c r="R242" s="1">
        <v>45191</v>
      </c>
    </row>
    <row r="243" spans="2:18" hidden="1" x14ac:dyDescent="0.25">
      <c r="B243" t="s">
        <v>107</v>
      </c>
      <c r="C243" t="s">
        <v>108</v>
      </c>
      <c r="D243" t="s">
        <v>20</v>
      </c>
      <c r="E243" t="s">
        <v>21</v>
      </c>
      <c r="F243" t="s">
        <v>22</v>
      </c>
      <c r="G243" t="s">
        <v>27</v>
      </c>
      <c r="H243" t="s">
        <v>24</v>
      </c>
      <c r="J243">
        <v>2</v>
      </c>
      <c r="K243" s="1">
        <v>45110</v>
      </c>
      <c r="L243" s="1">
        <v>45119</v>
      </c>
      <c r="M243" s="1">
        <v>45168</v>
      </c>
      <c r="N243" s="1">
        <v>45175</v>
      </c>
      <c r="O243" s="1">
        <v>45198</v>
      </c>
      <c r="P243" s="1">
        <v>45209</v>
      </c>
      <c r="Q243" s="1">
        <v>45153</v>
      </c>
      <c r="R243" s="1">
        <v>45209</v>
      </c>
    </row>
    <row r="244" spans="2:18" hidden="1" x14ac:dyDescent="0.25">
      <c r="B244" t="s">
        <v>107</v>
      </c>
      <c r="C244" t="s">
        <v>108</v>
      </c>
      <c r="D244" t="s">
        <v>20</v>
      </c>
      <c r="E244" t="s">
        <v>21</v>
      </c>
      <c r="F244" t="s">
        <v>22</v>
      </c>
      <c r="G244" t="s">
        <v>27</v>
      </c>
      <c r="H244" t="s">
        <v>25</v>
      </c>
      <c r="J244">
        <v>1</v>
      </c>
      <c r="K244" s="1">
        <v>45072</v>
      </c>
      <c r="L244" s="1">
        <v>45092</v>
      </c>
      <c r="M244" s="1">
        <v>45147</v>
      </c>
      <c r="N244" s="1">
        <v>45153</v>
      </c>
      <c r="O244" s="1">
        <v>45163</v>
      </c>
      <c r="P244" s="1">
        <v>45198</v>
      </c>
      <c r="Q244" s="1">
        <v>45126</v>
      </c>
      <c r="R244" s="1">
        <v>45190</v>
      </c>
    </row>
    <row r="245" spans="2:18" hidden="1" x14ac:dyDescent="0.25">
      <c r="B245" t="s">
        <v>107</v>
      </c>
      <c r="C245" t="s">
        <v>108</v>
      </c>
      <c r="D245" t="s">
        <v>20</v>
      </c>
      <c r="E245" t="s">
        <v>21</v>
      </c>
      <c r="F245" t="s">
        <v>22</v>
      </c>
      <c r="G245" t="s">
        <v>27</v>
      </c>
      <c r="H245" t="s">
        <v>25</v>
      </c>
      <c r="J245">
        <v>2</v>
      </c>
      <c r="K245" s="1">
        <v>45110</v>
      </c>
      <c r="L245" s="1">
        <v>45119</v>
      </c>
      <c r="M245" s="1">
        <v>45167</v>
      </c>
      <c r="N245" s="1">
        <v>45171</v>
      </c>
      <c r="O245" s="1">
        <v>45187</v>
      </c>
      <c r="P245" s="1">
        <v>45210</v>
      </c>
      <c r="Q245" s="1">
        <v>45148</v>
      </c>
      <c r="R245" s="1">
        <v>45205</v>
      </c>
    </row>
    <row r="246" spans="2:18" hidden="1" x14ac:dyDescent="0.25">
      <c r="B246" t="s">
        <v>107</v>
      </c>
      <c r="C246" t="s">
        <v>108</v>
      </c>
      <c r="D246" t="s">
        <v>20</v>
      </c>
      <c r="E246" t="s">
        <v>21</v>
      </c>
      <c r="F246" t="s">
        <v>22</v>
      </c>
      <c r="G246" t="s">
        <v>28</v>
      </c>
      <c r="H246" t="s">
        <v>24</v>
      </c>
      <c r="J246">
        <v>1</v>
      </c>
      <c r="K246" s="1">
        <v>45072</v>
      </c>
      <c r="L246" s="1">
        <v>45092</v>
      </c>
      <c r="M246" s="1">
        <v>45137</v>
      </c>
      <c r="N246" s="1">
        <v>45148</v>
      </c>
      <c r="O246" s="1">
        <v>45169</v>
      </c>
      <c r="P246" s="1">
        <v>45205</v>
      </c>
      <c r="Q246" s="1">
        <v>45120</v>
      </c>
      <c r="R246" s="1">
        <v>45186</v>
      </c>
    </row>
    <row r="247" spans="2:18" hidden="1" x14ac:dyDescent="0.25">
      <c r="B247" t="s">
        <v>107</v>
      </c>
      <c r="C247" t="s">
        <v>108</v>
      </c>
      <c r="D247" t="s">
        <v>20</v>
      </c>
      <c r="E247" t="s">
        <v>21</v>
      </c>
      <c r="F247" t="s">
        <v>22</v>
      </c>
      <c r="G247" t="s">
        <v>28</v>
      </c>
      <c r="H247" t="s">
        <v>24</v>
      </c>
      <c r="J247">
        <v>2</v>
      </c>
      <c r="K247" s="1">
        <v>45110</v>
      </c>
      <c r="L247" s="1">
        <v>45119</v>
      </c>
      <c r="M247" s="1">
        <v>45163</v>
      </c>
      <c r="N247" s="1">
        <v>45168</v>
      </c>
      <c r="O247" s="1">
        <v>45192</v>
      </c>
      <c r="P247" s="1">
        <v>45209</v>
      </c>
      <c r="Q247" s="1">
        <v>45144</v>
      </c>
      <c r="R247" s="1">
        <v>45202</v>
      </c>
    </row>
    <row r="248" spans="2:18" hidden="1" x14ac:dyDescent="0.25">
      <c r="B248" t="s">
        <v>107</v>
      </c>
      <c r="C248" t="s">
        <v>108</v>
      </c>
      <c r="D248" t="s">
        <v>20</v>
      </c>
      <c r="E248" t="s">
        <v>21</v>
      </c>
      <c r="F248" t="s">
        <v>22</v>
      </c>
      <c r="G248" t="s">
        <v>28</v>
      </c>
      <c r="H248" t="s">
        <v>25</v>
      </c>
      <c r="J248">
        <v>1</v>
      </c>
      <c r="K248" s="1">
        <v>45072</v>
      </c>
      <c r="L248" s="1">
        <v>45092</v>
      </c>
      <c r="M248" s="1">
        <v>45136</v>
      </c>
      <c r="N248" s="1">
        <v>45147</v>
      </c>
      <c r="O248" s="1">
        <v>45158</v>
      </c>
      <c r="P248" s="1">
        <v>45198</v>
      </c>
      <c r="Q248" s="1">
        <v>45119</v>
      </c>
      <c r="R248" s="1">
        <v>45185</v>
      </c>
    </row>
    <row r="249" spans="2:18" hidden="1" x14ac:dyDescent="0.25">
      <c r="B249" t="s">
        <v>107</v>
      </c>
      <c r="C249" t="s">
        <v>108</v>
      </c>
      <c r="D249" t="s">
        <v>20</v>
      </c>
      <c r="E249" t="s">
        <v>21</v>
      </c>
      <c r="F249" t="s">
        <v>22</v>
      </c>
      <c r="G249" t="s">
        <v>28</v>
      </c>
      <c r="H249" t="s">
        <v>25</v>
      </c>
      <c r="J249">
        <v>2</v>
      </c>
      <c r="K249" s="1">
        <v>45110</v>
      </c>
      <c r="L249" s="1">
        <v>45119</v>
      </c>
      <c r="M249" s="1" t="e">
        <v>#NUM!</v>
      </c>
      <c r="N249" s="1">
        <v>45167</v>
      </c>
      <c r="O249" s="1">
        <v>45174</v>
      </c>
      <c r="P249" s="1">
        <v>45211</v>
      </c>
      <c r="Q249" s="1">
        <v>45143</v>
      </c>
      <c r="R249" s="1">
        <v>45202</v>
      </c>
    </row>
    <row r="250" spans="2:18" hidden="1" x14ac:dyDescent="0.25">
      <c r="B250" t="s">
        <v>109</v>
      </c>
      <c r="C250" t="s">
        <v>110</v>
      </c>
      <c r="D250" t="s">
        <v>38</v>
      </c>
      <c r="E250" t="s">
        <v>21</v>
      </c>
      <c r="F250" t="s">
        <v>111</v>
      </c>
      <c r="G250" t="s">
        <v>40</v>
      </c>
      <c r="H250" t="s">
        <v>24</v>
      </c>
      <c r="J250">
        <v>1</v>
      </c>
      <c r="K250" s="1">
        <v>45056</v>
      </c>
      <c r="L250" s="1">
        <v>45073</v>
      </c>
      <c r="M250" s="1">
        <v>45131</v>
      </c>
      <c r="N250" s="1">
        <v>45147</v>
      </c>
      <c r="O250" s="1">
        <v>45175</v>
      </c>
      <c r="P250" s="1">
        <v>45212</v>
      </c>
      <c r="Q250" s="1">
        <v>45119</v>
      </c>
      <c r="R250" s="1">
        <v>45185</v>
      </c>
    </row>
    <row r="251" spans="2:18" hidden="1" x14ac:dyDescent="0.25">
      <c r="B251" t="s">
        <v>109</v>
      </c>
      <c r="C251" t="s">
        <v>110</v>
      </c>
      <c r="D251" t="s">
        <v>38</v>
      </c>
      <c r="E251" t="s">
        <v>21</v>
      </c>
      <c r="F251" t="s">
        <v>111</v>
      </c>
      <c r="G251" t="s">
        <v>40</v>
      </c>
      <c r="H251" t="s">
        <v>24</v>
      </c>
      <c r="J251">
        <v>2</v>
      </c>
      <c r="K251" s="1">
        <v>45105</v>
      </c>
      <c r="L251" s="1">
        <v>45125</v>
      </c>
      <c r="M251" s="1">
        <v>45175</v>
      </c>
      <c r="N251" s="1">
        <v>45188</v>
      </c>
      <c r="O251" s="1">
        <v>45196</v>
      </c>
      <c r="P251" s="1">
        <v>45233</v>
      </c>
      <c r="Q251" s="1">
        <v>45168</v>
      </c>
      <c r="R251" s="1">
        <v>45219</v>
      </c>
    </row>
    <row r="252" spans="2:18" hidden="1" x14ac:dyDescent="0.25">
      <c r="B252" t="s">
        <v>109</v>
      </c>
      <c r="C252" t="s">
        <v>110</v>
      </c>
      <c r="D252" t="s">
        <v>38</v>
      </c>
      <c r="E252" t="s">
        <v>21</v>
      </c>
      <c r="F252" t="s">
        <v>111</v>
      </c>
      <c r="G252" t="s">
        <v>40</v>
      </c>
      <c r="H252" t="s">
        <v>25</v>
      </c>
      <c r="J252">
        <v>1</v>
      </c>
      <c r="K252" s="1">
        <v>45056</v>
      </c>
      <c r="L252" s="1">
        <v>45073</v>
      </c>
      <c r="M252" s="1">
        <v>45131</v>
      </c>
      <c r="N252" s="1">
        <v>45148</v>
      </c>
      <c r="O252" s="1">
        <v>45175</v>
      </c>
      <c r="P252" s="1">
        <v>45211</v>
      </c>
      <c r="Q252" s="1">
        <v>45120</v>
      </c>
      <c r="R252" s="1">
        <v>45186</v>
      </c>
    </row>
    <row r="253" spans="2:18" hidden="1" x14ac:dyDescent="0.25">
      <c r="B253" t="s">
        <v>109</v>
      </c>
      <c r="C253" t="s">
        <v>110</v>
      </c>
      <c r="D253" t="s">
        <v>38</v>
      </c>
      <c r="E253" t="s">
        <v>21</v>
      </c>
      <c r="F253" t="s">
        <v>111</v>
      </c>
      <c r="G253" t="s">
        <v>40</v>
      </c>
      <c r="H253" t="s">
        <v>25</v>
      </c>
      <c r="J253">
        <v>2</v>
      </c>
      <c r="K253" s="1">
        <v>45105</v>
      </c>
      <c r="L253" s="1">
        <v>45125</v>
      </c>
      <c r="M253" s="1">
        <v>45175</v>
      </c>
      <c r="N253" s="1">
        <v>45188</v>
      </c>
      <c r="O253" s="1">
        <v>45196</v>
      </c>
      <c r="P253" s="1">
        <v>45233</v>
      </c>
      <c r="Q253" s="1">
        <v>45168</v>
      </c>
      <c r="R253" s="1">
        <v>45219</v>
      </c>
    </row>
    <row r="254" spans="2:18" hidden="1" x14ac:dyDescent="0.25">
      <c r="B254" t="s">
        <v>109</v>
      </c>
      <c r="C254" t="s">
        <v>110</v>
      </c>
      <c r="D254" t="s">
        <v>38</v>
      </c>
      <c r="E254" t="s">
        <v>21</v>
      </c>
      <c r="F254" t="s">
        <v>111</v>
      </c>
      <c r="G254" t="s">
        <v>41</v>
      </c>
      <c r="H254" t="s">
        <v>24</v>
      </c>
      <c r="J254">
        <v>1</v>
      </c>
      <c r="K254" s="1">
        <v>45056</v>
      </c>
      <c r="L254" s="1">
        <v>45073</v>
      </c>
      <c r="M254" s="1" t="e">
        <v>#NUM!</v>
      </c>
      <c r="N254" s="1">
        <v>45139</v>
      </c>
      <c r="O254" s="1">
        <v>45175</v>
      </c>
      <c r="P254" s="1">
        <v>45208</v>
      </c>
      <c r="Q254" s="1">
        <v>45112</v>
      </c>
      <c r="R254" s="1">
        <v>45180</v>
      </c>
    </row>
    <row r="255" spans="2:18" hidden="1" x14ac:dyDescent="0.25">
      <c r="B255" t="s">
        <v>109</v>
      </c>
      <c r="C255" t="s">
        <v>110</v>
      </c>
      <c r="D255" t="s">
        <v>38</v>
      </c>
      <c r="E255" t="s">
        <v>21</v>
      </c>
      <c r="F255" t="s">
        <v>111</v>
      </c>
      <c r="G255" t="s">
        <v>41</v>
      </c>
      <c r="H255" t="s">
        <v>24</v>
      </c>
      <c r="J255">
        <v>2</v>
      </c>
      <c r="K255" s="1">
        <v>45105</v>
      </c>
      <c r="L255" s="1">
        <v>45125</v>
      </c>
      <c r="M255" s="1">
        <v>45175</v>
      </c>
      <c r="N255" s="1">
        <v>45184</v>
      </c>
      <c r="O255" s="1">
        <v>45196</v>
      </c>
      <c r="P255" s="1">
        <v>45233</v>
      </c>
      <c r="Q255" s="1">
        <v>45162</v>
      </c>
      <c r="R255" s="1">
        <v>45215</v>
      </c>
    </row>
    <row r="256" spans="2:18" hidden="1" x14ac:dyDescent="0.25">
      <c r="B256" t="s">
        <v>109</v>
      </c>
      <c r="C256" t="s">
        <v>110</v>
      </c>
      <c r="D256" t="s">
        <v>38</v>
      </c>
      <c r="E256" t="s">
        <v>21</v>
      </c>
      <c r="F256" t="s">
        <v>111</v>
      </c>
      <c r="G256" t="s">
        <v>41</v>
      </c>
      <c r="H256" t="s">
        <v>25</v>
      </c>
      <c r="J256">
        <v>1</v>
      </c>
      <c r="K256" s="1">
        <v>45056</v>
      </c>
      <c r="L256" s="1">
        <v>45073</v>
      </c>
      <c r="M256" s="1">
        <v>45118</v>
      </c>
      <c r="N256" s="1">
        <v>45141</v>
      </c>
      <c r="O256" s="1">
        <v>45175</v>
      </c>
      <c r="P256" s="1">
        <v>45208</v>
      </c>
      <c r="Q256" s="1">
        <v>45114</v>
      </c>
      <c r="R256" s="1">
        <v>45181</v>
      </c>
    </row>
    <row r="257" spans="2:18" hidden="1" x14ac:dyDescent="0.25">
      <c r="B257" t="s">
        <v>109</v>
      </c>
      <c r="C257" t="s">
        <v>110</v>
      </c>
      <c r="D257" t="s">
        <v>38</v>
      </c>
      <c r="E257" t="s">
        <v>21</v>
      </c>
      <c r="F257" t="s">
        <v>111</v>
      </c>
      <c r="G257" t="s">
        <v>41</v>
      </c>
      <c r="H257" t="s">
        <v>25</v>
      </c>
      <c r="J257">
        <v>2</v>
      </c>
      <c r="K257" s="1">
        <v>45105</v>
      </c>
      <c r="L257" s="1">
        <v>45125</v>
      </c>
      <c r="M257" s="1">
        <v>45175</v>
      </c>
      <c r="N257" s="1">
        <v>45184</v>
      </c>
      <c r="O257" s="1">
        <v>45196</v>
      </c>
      <c r="P257" s="1">
        <v>45233</v>
      </c>
      <c r="Q257" s="1">
        <v>45162</v>
      </c>
      <c r="R257" s="1">
        <v>45215</v>
      </c>
    </row>
    <row r="258" spans="2:18" hidden="1" x14ac:dyDescent="0.25">
      <c r="B258" t="s">
        <v>109</v>
      </c>
      <c r="C258" t="s">
        <v>110</v>
      </c>
      <c r="D258" t="s">
        <v>38</v>
      </c>
      <c r="E258" t="s">
        <v>21</v>
      </c>
      <c r="F258" t="s">
        <v>111</v>
      </c>
      <c r="G258" t="s">
        <v>42</v>
      </c>
      <c r="H258" t="s">
        <v>24</v>
      </c>
      <c r="J258">
        <v>1</v>
      </c>
      <c r="K258" s="1">
        <v>45056</v>
      </c>
      <c r="L258" s="1">
        <v>45073</v>
      </c>
      <c r="M258" s="1">
        <v>45117</v>
      </c>
      <c r="N258" s="1">
        <v>45131</v>
      </c>
      <c r="O258" s="1">
        <v>45154</v>
      </c>
      <c r="P258" s="1">
        <v>45211</v>
      </c>
      <c r="Q258" s="1">
        <v>45103</v>
      </c>
      <c r="R258" s="1">
        <v>45172</v>
      </c>
    </row>
    <row r="259" spans="2:18" hidden="1" x14ac:dyDescent="0.25">
      <c r="B259" t="s">
        <v>109</v>
      </c>
      <c r="C259" t="s">
        <v>110</v>
      </c>
      <c r="D259" t="s">
        <v>38</v>
      </c>
      <c r="E259" t="s">
        <v>21</v>
      </c>
      <c r="F259" t="s">
        <v>111</v>
      </c>
      <c r="G259" t="s">
        <v>42</v>
      </c>
      <c r="H259" t="s">
        <v>24</v>
      </c>
      <c r="J259">
        <v>2</v>
      </c>
      <c r="K259" s="1">
        <v>45105</v>
      </c>
      <c r="L259" s="1">
        <v>45125</v>
      </c>
      <c r="M259" s="1" t="e">
        <v>#NUM!</v>
      </c>
      <c r="N259" s="1">
        <v>45175</v>
      </c>
      <c r="O259" s="1">
        <v>45188</v>
      </c>
      <c r="P259" s="1">
        <v>45233</v>
      </c>
      <c r="Q259" s="1">
        <v>45152</v>
      </c>
      <c r="R259" s="1">
        <v>45207</v>
      </c>
    </row>
    <row r="260" spans="2:18" hidden="1" x14ac:dyDescent="0.25">
      <c r="B260" t="s">
        <v>109</v>
      </c>
      <c r="C260" t="s">
        <v>110</v>
      </c>
      <c r="D260" t="s">
        <v>38</v>
      </c>
      <c r="E260" t="s">
        <v>21</v>
      </c>
      <c r="F260" t="s">
        <v>111</v>
      </c>
      <c r="G260" t="s">
        <v>42</v>
      </c>
      <c r="H260" t="s">
        <v>25</v>
      </c>
      <c r="J260">
        <v>1</v>
      </c>
      <c r="K260" s="1">
        <v>45056</v>
      </c>
      <c r="L260" s="1">
        <v>45073</v>
      </c>
      <c r="M260" s="1">
        <v>45117</v>
      </c>
      <c r="N260" s="1">
        <v>45131</v>
      </c>
      <c r="O260" s="1">
        <v>45154</v>
      </c>
      <c r="P260" s="1">
        <v>45205</v>
      </c>
      <c r="Q260" s="1">
        <v>45103</v>
      </c>
      <c r="R260" s="1">
        <v>45172</v>
      </c>
    </row>
    <row r="261" spans="2:18" hidden="1" x14ac:dyDescent="0.25">
      <c r="B261" t="s">
        <v>109</v>
      </c>
      <c r="C261" t="s">
        <v>110</v>
      </c>
      <c r="D261" t="s">
        <v>38</v>
      </c>
      <c r="E261" t="s">
        <v>21</v>
      </c>
      <c r="F261" t="s">
        <v>111</v>
      </c>
      <c r="G261" t="s">
        <v>42</v>
      </c>
      <c r="H261" t="s">
        <v>25</v>
      </c>
      <c r="J261">
        <v>2</v>
      </c>
      <c r="K261" s="1">
        <v>45105</v>
      </c>
      <c r="L261" s="1">
        <v>45125</v>
      </c>
      <c r="M261" s="1" t="e">
        <v>#NUM!</v>
      </c>
      <c r="N261" s="1">
        <v>45175</v>
      </c>
      <c r="O261" s="1">
        <v>45188</v>
      </c>
      <c r="P261" s="1">
        <v>45233</v>
      </c>
      <c r="Q261" s="1">
        <v>45152</v>
      </c>
      <c r="R261" s="1">
        <v>45207</v>
      </c>
    </row>
    <row r="262" spans="2:18" hidden="1" x14ac:dyDescent="0.25">
      <c r="B262" t="s">
        <v>109</v>
      </c>
      <c r="C262" t="s">
        <v>110</v>
      </c>
      <c r="D262" t="s">
        <v>38</v>
      </c>
      <c r="E262" t="s">
        <v>21</v>
      </c>
      <c r="F262" t="s">
        <v>111</v>
      </c>
      <c r="G262" t="s">
        <v>43</v>
      </c>
      <c r="H262" t="s">
        <v>24</v>
      </c>
      <c r="J262">
        <v>1</v>
      </c>
      <c r="K262" s="1">
        <v>45056</v>
      </c>
      <c r="L262" s="1">
        <v>45073</v>
      </c>
      <c r="M262" s="1">
        <v>45124</v>
      </c>
      <c r="N262" s="1">
        <v>45143</v>
      </c>
      <c r="O262" s="1">
        <v>45175</v>
      </c>
      <c r="P262" s="1">
        <v>45211</v>
      </c>
      <c r="Q262" s="1">
        <v>45116</v>
      </c>
      <c r="R262" s="1">
        <v>45183</v>
      </c>
    </row>
    <row r="263" spans="2:18" hidden="1" x14ac:dyDescent="0.25">
      <c r="B263" t="s">
        <v>109</v>
      </c>
      <c r="C263" t="s">
        <v>110</v>
      </c>
      <c r="D263" t="s">
        <v>38</v>
      </c>
      <c r="E263" t="s">
        <v>21</v>
      </c>
      <c r="F263" t="s">
        <v>111</v>
      </c>
      <c r="G263" t="s">
        <v>43</v>
      </c>
      <c r="H263" t="s">
        <v>24</v>
      </c>
      <c r="J263">
        <v>2</v>
      </c>
      <c r="K263" s="1">
        <v>45105</v>
      </c>
      <c r="L263" s="1">
        <v>45125</v>
      </c>
      <c r="M263" s="1">
        <v>45160</v>
      </c>
      <c r="N263" s="1">
        <v>45184</v>
      </c>
      <c r="O263" s="1">
        <v>45196</v>
      </c>
      <c r="P263" s="1">
        <v>45233</v>
      </c>
      <c r="Q263" s="1">
        <v>45162</v>
      </c>
      <c r="R263" s="1">
        <v>45215</v>
      </c>
    </row>
    <row r="264" spans="2:18" hidden="1" x14ac:dyDescent="0.25">
      <c r="B264" t="s">
        <v>109</v>
      </c>
      <c r="C264" t="s">
        <v>110</v>
      </c>
      <c r="D264" t="s">
        <v>38</v>
      </c>
      <c r="E264" t="s">
        <v>21</v>
      </c>
      <c r="F264" t="s">
        <v>111</v>
      </c>
      <c r="G264" t="s">
        <v>43</v>
      </c>
      <c r="H264" t="s">
        <v>25</v>
      </c>
      <c r="J264">
        <v>1</v>
      </c>
      <c r="K264" s="1">
        <v>45056</v>
      </c>
      <c r="L264" s="1">
        <v>45073</v>
      </c>
      <c r="M264" s="1">
        <v>45131</v>
      </c>
      <c r="N264" s="1">
        <v>45143</v>
      </c>
      <c r="O264" s="1">
        <v>45175</v>
      </c>
      <c r="P264" s="1">
        <v>45211</v>
      </c>
      <c r="Q264" s="1">
        <v>45116</v>
      </c>
      <c r="R264" s="1">
        <v>45183</v>
      </c>
    </row>
    <row r="265" spans="2:18" hidden="1" x14ac:dyDescent="0.25">
      <c r="B265" t="s">
        <v>109</v>
      </c>
      <c r="C265" t="s">
        <v>110</v>
      </c>
      <c r="D265" t="s">
        <v>38</v>
      </c>
      <c r="E265" t="s">
        <v>21</v>
      </c>
      <c r="F265" t="s">
        <v>111</v>
      </c>
      <c r="G265" t="s">
        <v>43</v>
      </c>
      <c r="H265" t="s">
        <v>25</v>
      </c>
      <c r="J265">
        <v>2</v>
      </c>
      <c r="K265" s="1">
        <v>45105</v>
      </c>
      <c r="L265" s="1">
        <v>45125</v>
      </c>
      <c r="M265" s="1">
        <v>45160</v>
      </c>
      <c r="N265" s="1">
        <v>45188</v>
      </c>
      <c r="O265" s="1">
        <v>45196</v>
      </c>
      <c r="P265" s="1">
        <v>45233</v>
      </c>
      <c r="Q265" s="1">
        <v>45168</v>
      </c>
      <c r="R265" s="1">
        <v>45219</v>
      </c>
    </row>
    <row r="266" spans="2:18" hidden="1" x14ac:dyDescent="0.25">
      <c r="B266" t="s">
        <v>112</v>
      </c>
      <c r="C266" t="s">
        <v>113</v>
      </c>
      <c r="D266" t="s">
        <v>46</v>
      </c>
      <c r="E266" t="s">
        <v>21</v>
      </c>
      <c r="F266" t="s">
        <v>111</v>
      </c>
      <c r="G266" t="s">
        <v>47</v>
      </c>
      <c r="H266" t="s">
        <v>24</v>
      </c>
      <c r="J266">
        <v>1</v>
      </c>
      <c r="K266" s="1">
        <v>45056</v>
      </c>
      <c r="L266" s="1">
        <v>45066</v>
      </c>
      <c r="M266" s="1">
        <v>45134</v>
      </c>
      <c r="N266" s="1">
        <v>45156</v>
      </c>
      <c r="O266" s="1">
        <v>45175</v>
      </c>
      <c r="P266" s="1">
        <v>45216</v>
      </c>
      <c r="Q266" s="1">
        <v>45130</v>
      </c>
      <c r="R266" s="1">
        <v>45192</v>
      </c>
    </row>
    <row r="267" spans="2:18" hidden="1" x14ac:dyDescent="0.25">
      <c r="B267" t="s">
        <v>112</v>
      </c>
      <c r="C267" t="s">
        <v>113</v>
      </c>
      <c r="D267" t="s">
        <v>46</v>
      </c>
      <c r="E267" t="s">
        <v>21</v>
      </c>
      <c r="F267" t="s">
        <v>111</v>
      </c>
      <c r="G267" t="s">
        <v>47</v>
      </c>
      <c r="H267" t="s">
        <v>24</v>
      </c>
      <c r="J267">
        <v>2</v>
      </c>
      <c r="K267" s="1">
        <v>45105</v>
      </c>
      <c r="L267" s="1">
        <v>45117</v>
      </c>
      <c r="M267" s="1">
        <v>45173</v>
      </c>
      <c r="N267" s="1">
        <v>45187</v>
      </c>
      <c r="O267" s="1">
        <v>45194</v>
      </c>
      <c r="P267" s="1">
        <v>45231</v>
      </c>
      <c r="Q267" s="1">
        <v>45167</v>
      </c>
      <c r="R267" s="1">
        <v>45218</v>
      </c>
    </row>
    <row r="268" spans="2:18" hidden="1" x14ac:dyDescent="0.25">
      <c r="B268" t="s">
        <v>112</v>
      </c>
      <c r="C268" t="s">
        <v>113</v>
      </c>
      <c r="D268" t="s">
        <v>46</v>
      </c>
      <c r="E268" t="s">
        <v>21</v>
      </c>
      <c r="F268" t="s">
        <v>111</v>
      </c>
      <c r="G268" t="s">
        <v>47</v>
      </c>
      <c r="H268" t="s">
        <v>25</v>
      </c>
      <c r="J268">
        <v>1</v>
      </c>
      <c r="K268" s="1">
        <v>45056</v>
      </c>
      <c r="L268" s="1">
        <v>45066</v>
      </c>
      <c r="M268" s="1">
        <v>45132</v>
      </c>
      <c r="N268" s="1">
        <v>45155</v>
      </c>
      <c r="O268" s="1">
        <v>45175</v>
      </c>
      <c r="P268" s="1">
        <v>45216</v>
      </c>
      <c r="Q268" s="1">
        <v>45129</v>
      </c>
      <c r="R268" s="1">
        <v>45191</v>
      </c>
    </row>
    <row r="269" spans="2:18" hidden="1" x14ac:dyDescent="0.25">
      <c r="B269" t="s">
        <v>112</v>
      </c>
      <c r="C269" t="s">
        <v>113</v>
      </c>
      <c r="D269" t="s">
        <v>46</v>
      </c>
      <c r="E269" t="s">
        <v>21</v>
      </c>
      <c r="F269" t="s">
        <v>111</v>
      </c>
      <c r="G269" t="s">
        <v>47</v>
      </c>
      <c r="H269" t="s">
        <v>25</v>
      </c>
      <c r="J269">
        <v>2</v>
      </c>
      <c r="K269" s="1">
        <v>45105</v>
      </c>
      <c r="L269" s="1">
        <v>45117</v>
      </c>
      <c r="M269" s="1">
        <v>45173</v>
      </c>
      <c r="N269" s="1">
        <v>45187</v>
      </c>
      <c r="O269" s="1">
        <v>45195</v>
      </c>
      <c r="P269" s="1">
        <v>45231</v>
      </c>
      <c r="Q269" s="1">
        <v>45167</v>
      </c>
      <c r="R269" s="1">
        <v>45218</v>
      </c>
    </row>
    <row r="270" spans="2:18" hidden="1" x14ac:dyDescent="0.25">
      <c r="B270" t="s">
        <v>112</v>
      </c>
      <c r="C270" t="s">
        <v>113</v>
      </c>
      <c r="D270" t="s">
        <v>46</v>
      </c>
      <c r="E270" t="s">
        <v>21</v>
      </c>
      <c r="F270" t="s">
        <v>111</v>
      </c>
      <c r="G270" t="s">
        <v>48</v>
      </c>
      <c r="H270" t="s">
        <v>24</v>
      </c>
      <c r="J270">
        <v>1</v>
      </c>
      <c r="K270" s="1">
        <v>45056</v>
      </c>
      <c r="L270" s="1">
        <v>45066</v>
      </c>
      <c r="M270" s="1">
        <v>45134</v>
      </c>
      <c r="N270" s="1">
        <v>45159</v>
      </c>
      <c r="O270" s="1">
        <v>45175</v>
      </c>
      <c r="P270" s="1">
        <v>45216</v>
      </c>
      <c r="Q270" s="1">
        <v>45134</v>
      </c>
      <c r="R270" s="1">
        <v>45194</v>
      </c>
    </row>
    <row r="271" spans="2:18" hidden="1" x14ac:dyDescent="0.25">
      <c r="B271" t="s">
        <v>112</v>
      </c>
      <c r="C271" t="s">
        <v>113</v>
      </c>
      <c r="D271" t="s">
        <v>46</v>
      </c>
      <c r="E271" t="s">
        <v>21</v>
      </c>
      <c r="F271" t="s">
        <v>111</v>
      </c>
      <c r="G271" t="s">
        <v>48</v>
      </c>
      <c r="H271" t="s">
        <v>24</v>
      </c>
      <c r="J271">
        <v>2</v>
      </c>
      <c r="K271" s="1">
        <v>45105</v>
      </c>
      <c r="L271" s="1">
        <v>45117</v>
      </c>
      <c r="M271" s="1">
        <v>45173</v>
      </c>
      <c r="N271" s="1">
        <v>45187</v>
      </c>
      <c r="O271" s="1">
        <v>45195</v>
      </c>
      <c r="P271" s="1">
        <v>45231</v>
      </c>
      <c r="Q271" s="1">
        <v>45167</v>
      </c>
      <c r="R271" s="1">
        <v>45218</v>
      </c>
    </row>
    <row r="272" spans="2:18" hidden="1" x14ac:dyDescent="0.25">
      <c r="B272" t="s">
        <v>112</v>
      </c>
      <c r="C272" t="s">
        <v>113</v>
      </c>
      <c r="D272" t="s">
        <v>46</v>
      </c>
      <c r="E272" t="s">
        <v>21</v>
      </c>
      <c r="F272" t="s">
        <v>111</v>
      </c>
      <c r="G272" t="s">
        <v>48</v>
      </c>
      <c r="H272" t="s">
        <v>25</v>
      </c>
      <c r="J272">
        <v>1</v>
      </c>
      <c r="K272" s="1">
        <v>45056</v>
      </c>
      <c r="L272" s="1">
        <v>45066</v>
      </c>
      <c r="M272" s="1">
        <v>45132</v>
      </c>
      <c r="N272" s="1">
        <v>45159</v>
      </c>
      <c r="O272" s="1">
        <v>45175</v>
      </c>
      <c r="P272" s="1">
        <v>45216</v>
      </c>
      <c r="Q272" s="1">
        <v>45134</v>
      </c>
      <c r="R272" s="1">
        <v>45194</v>
      </c>
    </row>
    <row r="273" spans="2:18" hidden="1" x14ac:dyDescent="0.25">
      <c r="B273" t="s">
        <v>112</v>
      </c>
      <c r="C273" t="s">
        <v>113</v>
      </c>
      <c r="D273" t="s">
        <v>46</v>
      </c>
      <c r="E273" t="s">
        <v>21</v>
      </c>
      <c r="F273" t="s">
        <v>111</v>
      </c>
      <c r="G273" t="s">
        <v>48</v>
      </c>
      <c r="H273" t="s">
        <v>25</v>
      </c>
      <c r="J273">
        <v>2</v>
      </c>
      <c r="K273" s="1">
        <v>45105</v>
      </c>
      <c r="L273" s="1">
        <v>45117</v>
      </c>
      <c r="M273" s="1">
        <v>45175</v>
      </c>
      <c r="N273" s="1">
        <v>45187</v>
      </c>
      <c r="O273" s="1">
        <v>45194</v>
      </c>
      <c r="P273" s="1">
        <v>45231</v>
      </c>
      <c r="Q273" s="1">
        <v>45167</v>
      </c>
      <c r="R273" s="1">
        <v>45218</v>
      </c>
    </row>
    <row r="274" spans="2:18" hidden="1" x14ac:dyDescent="0.25">
      <c r="B274" t="s">
        <v>112</v>
      </c>
      <c r="C274" t="s">
        <v>113</v>
      </c>
      <c r="D274" t="s">
        <v>46</v>
      </c>
      <c r="E274" t="s">
        <v>21</v>
      </c>
      <c r="F274" t="s">
        <v>111</v>
      </c>
      <c r="G274" t="s">
        <v>49</v>
      </c>
      <c r="H274" t="s">
        <v>24</v>
      </c>
      <c r="J274">
        <v>1</v>
      </c>
      <c r="K274" s="1">
        <v>45056</v>
      </c>
      <c r="L274" s="1">
        <v>45066</v>
      </c>
      <c r="M274" s="1">
        <v>45131</v>
      </c>
      <c r="N274" s="1">
        <v>45153</v>
      </c>
      <c r="O274" s="1">
        <v>45175</v>
      </c>
      <c r="P274" s="1">
        <v>45216</v>
      </c>
      <c r="Q274" s="1">
        <v>45126</v>
      </c>
      <c r="R274" s="1">
        <v>45189</v>
      </c>
    </row>
    <row r="275" spans="2:18" hidden="1" x14ac:dyDescent="0.25">
      <c r="B275" t="s">
        <v>112</v>
      </c>
      <c r="C275" t="s">
        <v>113</v>
      </c>
      <c r="D275" t="s">
        <v>46</v>
      </c>
      <c r="E275" t="s">
        <v>21</v>
      </c>
      <c r="F275" t="s">
        <v>111</v>
      </c>
      <c r="G275" t="s">
        <v>49</v>
      </c>
      <c r="H275" t="s">
        <v>24</v>
      </c>
      <c r="J275">
        <v>2</v>
      </c>
      <c r="K275" s="1">
        <v>45105</v>
      </c>
      <c r="L275" s="1">
        <v>45117</v>
      </c>
      <c r="M275" s="1">
        <v>45173</v>
      </c>
      <c r="N275" s="1">
        <v>45187</v>
      </c>
      <c r="O275" s="1">
        <v>45195</v>
      </c>
      <c r="P275" s="1">
        <v>45231</v>
      </c>
      <c r="Q275" s="1">
        <v>45167</v>
      </c>
      <c r="R275" s="1">
        <v>45218</v>
      </c>
    </row>
    <row r="276" spans="2:18" hidden="1" x14ac:dyDescent="0.25">
      <c r="B276" t="s">
        <v>112</v>
      </c>
      <c r="C276" t="s">
        <v>113</v>
      </c>
      <c r="D276" t="s">
        <v>46</v>
      </c>
      <c r="E276" t="s">
        <v>21</v>
      </c>
      <c r="F276" t="s">
        <v>111</v>
      </c>
      <c r="G276" t="s">
        <v>49</v>
      </c>
      <c r="H276" t="s">
        <v>25</v>
      </c>
      <c r="J276">
        <v>1</v>
      </c>
      <c r="K276" s="1">
        <v>45056</v>
      </c>
      <c r="L276" s="1">
        <v>45066</v>
      </c>
      <c r="M276" s="1">
        <v>45132</v>
      </c>
      <c r="N276" s="1">
        <v>45152</v>
      </c>
      <c r="O276" s="1">
        <v>45175</v>
      </c>
      <c r="P276" s="1">
        <v>45216</v>
      </c>
      <c r="Q276" s="1">
        <v>45125</v>
      </c>
      <c r="R276" s="1">
        <v>45188</v>
      </c>
    </row>
    <row r="277" spans="2:18" hidden="1" x14ac:dyDescent="0.25">
      <c r="B277" t="s">
        <v>112</v>
      </c>
      <c r="C277" t="s">
        <v>113</v>
      </c>
      <c r="D277" t="s">
        <v>46</v>
      </c>
      <c r="E277" t="s">
        <v>21</v>
      </c>
      <c r="F277" t="s">
        <v>111</v>
      </c>
      <c r="G277" t="s">
        <v>49</v>
      </c>
      <c r="H277" t="s">
        <v>25</v>
      </c>
      <c r="J277">
        <v>2</v>
      </c>
      <c r="K277" s="1">
        <v>45105</v>
      </c>
      <c r="L277" s="1">
        <v>45117</v>
      </c>
      <c r="M277" s="1">
        <v>45173</v>
      </c>
      <c r="N277" s="1">
        <v>45187</v>
      </c>
      <c r="O277" s="1">
        <v>45194</v>
      </c>
      <c r="P277" s="1">
        <v>45231</v>
      </c>
      <c r="Q277" s="1">
        <v>45167</v>
      </c>
      <c r="R277" s="1">
        <v>45218</v>
      </c>
    </row>
    <row r="278" spans="2:18" hidden="1" x14ac:dyDescent="0.25">
      <c r="B278" t="s">
        <v>112</v>
      </c>
      <c r="C278" t="s">
        <v>113</v>
      </c>
      <c r="D278" t="s">
        <v>46</v>
      </c>
      <c r="E278" t="s">
        <v>21</v>
      </c>
      <c r="F278" t="s">
        <v>111</v>
      </c>
      <c r="G278" t="s">
        <v>50</v>
      </c>
      <c r="H278" t="s">
        <v>24</v>
      </c>
      <c r="J278">
        <v>1</v>
      </c>
      <c r="K278" s="1">
        <v>45056</v>
      </c>
      <c r="L278" s="1">
        <v>45066</v>
      </c>
      <c r="M278" s="1">
        <v>45132</v>
      </c>
      <c r="N278" s="1">
        <v>45152</v>
      </c>
      <c r="O278" s="1">
        <v>45175</v>
      </c>
      <c r="P278" s="1">
        <v>45216</v>
      </c>
      <c r="Q278" s="1">
        <v>45125</v>
      </c>
      <c r="R278" s="1">
        <v>45188</v>
      </c>
    </row>
    <row r="279" spans="2:18" hidden="1" x14ac:dyDescent="0.25">
      <c r="B279" t="s">
        <v>112</v>
      </c>
      <c r="C279" t="s">
        <v>113</v>
      </c>
      <c r="D279" t="s">
        <v>46</v>
      </c>
      <c r="E279" t="s">
        <v>21</v>
      </c>
      <c r="F279" t="s">
        <v>111</v>
      </c>
      <c r="G279" t="s">
        <v>50</v>
      </c>
      <c r="H279" t="s">
        <v>24</v>
      </c>
      <c r="J279">
        <v>2</v>
      </c>
      <c r="K279" s="1">
        <v>45105</v>
      </c>
      <c r="L279" s="1">
        <v>45117</v>
      </c>
      <c r="M279" s="1">
        <v>45175</v>
      </c>
      <c r="N279" s="1">
        <v>45187</v>
      </c>
      <c r="O279" s="1">
        <v>45194</v>
      </c>
      <c r="P279" s="1">
        <v>45231</v>
      </c>
      <c r="Q279" s="1">
        <v>45167</v>
      </c>
      <c r="R279" s="1">
        <v>45218</v>
      </c>
    </row>
    <row r="280" spans="2:18" hidden="1" x14ac:dyDescent="0.25">
      <c r="B280" t="s">
        <v>112</v>
      </c>
      <c r="C280" t="s">
        <v>113</v>
      </c>
      <c r="D280" t="s">
        <v>46</v>
      </c>
      <c r="E280" t="s">
        <v>21</v>
      </c>
      <c r="F280" t="s">
        <v>111</v>
      </c>
      <c r="G280" t="s">
        <v>50</v>
      </c>
      <c r="H280" t="s">
        <v>25</v>
      </c>
      <c r="J280">
        <v>1</v>
      </c>
      <c r="K280" s="1">
        <v>45056</v>
      </c>
      <c r="L280" s="1">
        <v>45066</v>
      </c>
      <c r="M280" s="1">
        <v>45132</v>
      </c>
      <c r="N280" s="1">
        <v>45152</v>
      </c>
      <c r="O280" s="1">
        <v>45175</v>
      </c>
      <c r="P280" s="1">
        <v>45216</v>
      </c>
      <c r="Q280" s="1">
        <v>45125</v>
      </c>
      <c r="R280" s="1">
        <v>45188</v>
      </c>
    </row>
    <row r="281" spans="2:18" hidden="1" x14ac:dyDescent="0.25">
      <c r="B281" t="s">
        <v>112</v>
      </c>
      <c r="C281" t="s">
        <v>113</v>
      </c>
      <c r="D281" t="s">
        <v>46</v>
      </c>
      <c r="E281" t="s">
        <v>21</v>
      </c>
      <c r="F281" t="s">
        <v>111</v>
      </c>
      <c r="G281" t="s">
        <v>50</v>
      </c>
      <c r="H281" t="s">
        <v>25</v>
      </c>
      <c r="J281">
        <v>2</v>
      </c>
      <c r="K281" s="1">
        <v>45105</v>
      </c>
      <c r="L281" s="1">
        <v>45117</v>
      </c>
      <c r="M281" s="1">
        <v>45173</v>
      </c>
      <c r="N281" s="1">
        <v>45187</v>
      </c>
      <c r="O281" s="1">
        <v>45194</v>
      </c>
      <c r="P281" s="1">
        <v>45231</v>
      </c>
      <c r="Q281" s="1">
        <v>45167</v>
      </c>
      <c r="R281" s="1">
        <v>45218</v>
      </c>
    </row>
    <row r="282" spans="2:18" hidden="1" x14ac:dyDescent="0.25">
      <c r="B282" t="s">
        <v>114</v>
      </c>
      <c r="C282" t="s">
        <v>115</v>
      </c>
      <c r="D282" t="s">
        <v>20</v>
      </c>
      <c r="E282" t="s">
        <v>21</v>
      </c>
      <c r="F282" t="s">
        <v>116</v>
      </c>
      <c r="G282" t="s">
        <v>23</v>
      </c>
      <c r="H282" t="s">
        <v>24</v>
      </c>
      <c r="J282">
        <v>1</v>
      </c>
      <c r="K282" s="1">
        <v>45062</v>
      </c>
      <c r="L282" s="1">
        <v>45075</v>
      </c>
      <c r="M282" s="1">
        <v>45164</v>
      </c>
      <c r="N282" s="1">
        <v>45187</v>
      </c>
      <c r="O282" s="1">
        <v>45225</v>
      </c>
      <c r="P282" s="1">
        <v>45266</v>
      </c>
      <c r="Q282" s="1">
        <v>45143</v>
      </c>
      <c r="R282" s="1">
        <v>45237</v>
      </c>
    </row>
    <row r="283" spans="2:18" hidden="1" x14ac:dyDescent="0.25">
      <c r="B283" t="s">
        <v>114</v>
      </c>
      <c r="C283" t="s">
        <v>115</v>
      </c>
      <c r="D283" t="s">
        <v>20</v>
      </c>
      <c r="E283" t="s">
        <v>21</v>
      </c>
      <c r="F283" t="s">
        <v>116</v>
      </c>
      <c r="G283" t="s">
        <v>23</v>
      </c>
      <c r="H283" t="s">
        <v>24</v>
      </c>
      <c r="J283">
        <v>2</v>
      </c>
      <c r="K283" s="1">
        <v>45110</v>
      </c>
      <c r="L283" s="1">
        <v>45127</v>
      </c>
      <c r="M283" s="1">
        <v>45193</v>
      </c>
      <c r="N283" s="1">
        <v>45209</v>
      </c>
      <c r="O283" s="1">
        <v>45225</v>
      </c>
      <c r="P283" s="1">
        <v>45279</v>
      </c>
      <c r="Q283" s="1">
        <v>45176</v>
      </c>
      <c r="R283" s="1">
        <v>45253</v>
      </c>
    </row>
    <row r="284" spans="2:18" hidden="1" x14ac:dyDescent="0.25">
      <c r="B284" t="s">
        <v>114</v>
      </c>
      <c r="C284" t="s">
        <v>115</v>
      </c>
      <c r="D284" t="s">
        <v>20</v>
      </c>
      <c r="E284" t="s">
        <v>21</v>
      </c>
      <c r="F284" t="s">
        <v>116</v>
      </c>
      <c r="G284" t="s">
        <v>23</v>
      </c>
      <c r="H284" t="s">
        <v>25</v>
      </c>
      <c r="J284">
        <v>1</v>
      </c>
      <c r="K284" s="1">
        <v>45062</v>
      </c>
      <c r="L284" s="1">
        <v>45075</v>
      </c>
      <c r="M284" s="1">
        <v>45161</v>
      </c>
      <c r="N284" s="1">
        <v>45187</v>
      </c>
      <c r="O284" s="1">
        <v>45225</v>
      </c>
      <c r="P284" s="1">
        <v>45266</v>
      </c>
      <c r="Q284" s="1">
        <v>45143</v>
      </c>
      <c r="R284" s="1">
        <v>45237</v>
      </c>
    </row>
    <row r="285" spans="2:18" hidden="1" x14ac:dyDescent="0.25">
      <c r="B285" t="s">
        <v>114</v>
      </c>
      <c r="C285" t="s">
        <v>115</v>
      </c>
      <c r="D285" t="s">
        <v>20</v>
      </c>
      <c r="E285" t="s">
        <v>21</v>
      </c>
      <c r="F285" t="s">
        <v>116</v>
      </c>
      <c r="G285" t="s">
        <v>23</v>
      </c>
      <c r="H285" t="s">
        <v>25</v>
      </c>
      <c r="J285">
        <v>2</v>
      </c>
      <c r="K285" s="1">
        <v>45110</v>
      </c>
      <c r="L285" s="1">
        <v>45127</v>
      </c>
      <c r="M285" s="1">
        <v>45197</v>
      </c>
      <c r="N285" s="1">
        <v>45206</v>
      </c>
      <c r="O285" s="1">
        <v>45225</v>
      </c>
      <c r="P285" s="1">
        <v>45266</v>
      </c>
      <c r="Q285" s="1">
        <v>45172</v>
      </c>
      <c r="R285" s="1">
        <v>45251</v>
      </c>
    </row>
    <row r="286" spans="2:18" hidden="1" x14ac:dyDescent="0.25">
      <c r="B286" t="s">
        <v>114</v>
      </c>
      <c r="C286" t="s">
        <v>115</v>
      </c>
      <c r="D286" t="s">
        <v>20</v>
      </c>
      <c r="E286" t="s">
        <v>21</v>
      </c>
      <c r="F286" t="s">
        <v>116</v>
      </c>
      <c r="G286" t="s">
        <v>26</v>
      </c>
      <c r="H286" t="s">
        <v>24</v>
      </c>
      <c r="J286">
        <v>1</v>
      </c>
      <c r="K286" s="1">
        <v>45062</v>
      </c>
      <c r="L286" s="1">
        <v>45075</v>
      </c>
      <c r="M286" s="1">
        <v>45172</v>
      </c>
      <c r="N286" s="1">
        <v>45192</v>
      </c>
      <c r="O286" s="1">
        <v>45226</v>
      </c>
      <c r="P286" s="1">
        <v>45267</v>
      </c>
      <c r="Q286" s="1">
        <v>45151</v>
      </c>
      <c r="R286" s="1">
        <v>45240</v>
      </c>
    </row>
    <row r="287" spans="2:18" hidden="1" x14ac:dyDescent="0.25">
      <c r="B287" t="s">
        <v>114</v>
      </c>
      <c r="C287" t="s">
        <v>115</v>
      </c>
      <c r="D287" t="s">
        <v>20</v>
      </c>
      <c r="E287" t="s">
        <v>21</v>
      </c>
      <c r="F287" t="s">
        <v>116</v>
      </c>
      <c r="G287" t="s">
        <v>26</v>
      </c>
      <c r="H287" t="s">
        <v>24</v>
      </c>
      <c r="J287">
        <v>2</v>
      </c>
      <c r="K287" s="1">
        <v>45110</v>
      </c>
      <c r="L287" s="1">
        <v>45127</v>
      </c>
      <c r="M287" s="1">
        <v>45197</v>
      </c>
      <c r="N287" s="1">
        <v>45208</v>
      </c>
      <c r="O287" s="1">
        <v>45225</v>
      </c>
      <c r="P287" s="1">
        <v>45279</v>
      </c>
      <c r="Q287" s="1">
        <v>45175</v>
      </c>
      <c r="R287" s="1">
        <v>45252</v>
      </c>
    </row>
    <row r="288" spans="2:18" hidden="1" x14ac:dyDescent="0.25">
      <c r="B288" t="s">
        <v>114</v>
      </c>
      <c r="C288" t="s">
        <v>115</v>
      </c>
      <c r="D288" t="s">
        <v>20</v>
      </c>
      <c r="E288" t="s">
        <v>21</v>
      </c>
      <c r="F288" t="s">
        <v>116</v>
      </c>
      <c r="G288" t="s">
        <v>26</v>
      </c>
      <c r="H288" t="s">
        <v>25</v>
      </c>
      <c r="J288">
        <v>1</v>
      </c>
      <c r="K288" s="1">
        <v>45062</v>
      </c>
      <c r="L288" s="1">
        <v>45075</v>
      </c>
      <c r="M288" s="1">
        <v>45168</v>
      </c>
      <c r="N288" s="1">
        <v>45197</v>
      </c>
      <c r="O288" s="1">
        <v>45225</v>
      </c>
      <c r="P288" s="1">
        <v>45267</v>
      </c>
      <c r="Q288" s="1">
        <v>45160</v>
      </c>
      <c r="R288" s="1">
        <v>45244</v>
      </c>
    </row>
    <row r="289" spans="2:18" hidden="1" x14ac:dyDescent="0.25">
      <c r="B289" t="s">
        <v>114</v>
      </c>
      <c r="C289" t="s">
        <v>115</v>
      </c>
      <c r="D289" t="s">
        <v>20</v>
      </c>
      <c r="E289" t="s">
        <v>21</v>
      </c>
      <c r="F289" t="s">
        <v>116</v>
      </c>
      <c r="G289" t="s">
        <v>26</v>
      </c>
      <c r="H289" t="s">
        <v>25</v>
      </c>
      <c r="J289">
        <v>2</v>
      </c>
      <c r="K289" s="1">
        <v>45110</v>
      </c>
      <c r="L289" s="1">
        <v>45127</v>
      </c>
      <c r="M289" s="1">
        <v>45197</v>
      </c>
      <c r="N289" s="1">
        <v>45206</v>
      </c>
      <c r="O289" s="1">
        <v>45225</v>
      </c>
      <c r="P289" s="1">
        <v>45266</v>
      </c>
      <c r="Q289" s="1">
        <v>45172</v>
      </c>
      <c r="R289" s="1">
        <v>45251</v>
      </c>
    </row>
    <row r="290" spans="2:18" hidden="1" x14ac:dyDescent="0.25">
      <c r="B290" t="s">
        <v>114</v>
      </c>
      <c r="C290" t="s">
        <v>115</v>
      </c>
      <c r="D290" t="s">
        <v>20</v>
      </c>
      <c r="E290" t="s">
        <v>21</v>
      </c>
      <c r="F290" t="s">
        <v>116</v>
      </c>
      <c r="G290" t="s">
        <v>27</v>
      </c>
      <c r="H290" t="s">
        <v>24</v>
      </c>
      <c r="J290">
        <v>1</v>
      </c>
      <c r="K290" s="1">
        <v>45062</v>
      </c>
      <c r="L290" s="1">
        <v>45075</v>
      </c>
      <c r="M290" s="1">
        <v>45168</v>
      </c>
      <c r="N290" s="1">
        <v>45200</v>
      </c>
      <c r="O290" s="1">
        <v>45226</v>
      </c>
      <c r="P290" s="1">
        <v>45279</v>
      </c>
      <c r="Q290" s="1">
        <v>45165</v>
      </c>
      <c r="R290" s="1">
        <v>45247</v>
      </c>
    </row>
    <row r="291" spans="2:18" hidden="1" x14ac:dyDescent="0.25">
      <c r="B291" t="s">
        <v>114</v>
      </c>
      <c r="C291" t="s">
        <v>115</v>
      </c>
      <c r="D291" t="s">
        <v>20</v>
      </c>
      <c r="E291" t="s">
        <v>21</v>
      </c>
      <c r="F291" t="s">
        <v>116</v>
      </c>
      <c r="G291" t="s">
        <v>27</v>
      </c>
      <c r="H291" t="s">
        <v>24</v>
      </c>
      <c r="J291">
        <v>2</v>
      </c>
      <c r="K291" s="1">
        <v>45110</v>
      </c>
      <c r="L291" s="1">
        <v>45127</v>
      </c>
      <c r="M291" s="1">
        <v>45197</v>
      </c>
      <c r="N291" s="1">
        <v>45219</v>
      </c>
      <c r="O291" s="1">
        <v>45229</v>
      </c>
      <c r="P291" s="1">
        <v>45279</v>
      </c>
      <c r="Q291" s="1">
        <v>45188</v>
      </c>
      <c r="R291" s="1">
        <v>45260</v>
      </c>
    </row>
    <row r="292" spans="2:18" hidden="1" x14ac:dyDescent="0.25">
      <c r="B292" t="s">
        <v>114</v>
      </c>
      <c r="C292" t="s">
        <v>115</v>
      </c>
      <c r="D292" t="s">
        <v>20</v>
      </c>
      <c r="E292" t="s">
        <v>21</v>
      </c>
      <c r="F292" t="s">
        <v>116</v>
      </c>
      <c r="G292" t="s">
        <v>27</v>
      </c>
      <c r="H292" t="s">
        <v>25</v>
      </c>
      <c r="J292">
        <v>1</v>
      </c>
      <c r="K292" s="1">
        <v>45062</v>
      </c>
      <c r="L292" s="1">
        <v>45075</v>
      </c>
      <c r="M292" s="1">
        <v>45168</v>
      </c>
      <c r="N292" s="1">
        <v>45197</v>
      </c>
      <c r="O292" s="1">
        <v>45225</v>
      </c>
      <c r="P292" s="1">
        <v>45279</v>
      </c>
      <c r="Q292" s="1">
        <v>45160</v>
      </c>
      <c r="R292" s="1">
        <v>45244</v>
      </c>
    </row>
    <row r="293" spans="2:18" hidden="1" x14ac:dyDescent="0.25">
      <c r="B293" t="s">
        <v>114</v>
      </c>
      <c r="C293" t="s">
        <v>115</v>
      </c>
      <c r="D293" t="s">
        <v>20</v>
      </c>
      <c r="E293" t="s">
        <v>21</v>
      </c>
      <c r="F293" t="s">
        <v>116</v>
      </c>
      <c r="G293" t="s">
        <v>27</v>
      </c>
      <c r="H293" t="s">
        <v>25</v>
      </c>
      <c r="J293">
        <v>2</v>
      </c>
      <c r="K293" s="1">
        <v>45110</v>
      </c>
      <c r="L293" s="1">
        <v>45127</v>
      </c>
      <c r="M293" s="1">
        <v>45197</v>
      </c>
      <c r="N293" s="1">
        <v>45217</v>
      </c>
      <c r="O293" s="1">
        <v>45230</v>
      </c>
      <c r="P293" s="1">
        <v>45278</v>
      </c>
      <c r="Q293" s="1">
        <v>45186</v>
      </c>
      <c r="R293" s="1">
        <v>45258</v>
      </c>
    </row>
    <row r="294" spans="2:18" hidden="1" x14ac:dyDescent="0.25">
      <c r="B294" t="s">
        <v>114</v>
      </c>
      <c r="C294" t="s">
        <v>115</v>
      </c>
      <c r="D294" t="s">
        <v>20</v>
      </c>
      <c r="E294" t="s">
        <v>21</v>
      </c>
      <c r="F294" t="s">
        <v>116</v>
      </c>
      <c r="G294" t="s">
        <v>28</v>
      </c>
      <c r="H294" t="s">
        <v>24</v>
      </c>
      <c r="J294">
        <v>1</v>
      </c>
      <c r="K294" s="1">
        <v>45062</v>
      </c>
      <c r="L294" s="1">
        <v>45075</v>
      </c>
      <c r="M294" s="1">
        <v>45154</v>
      </c>
      <c r="N294" s="1">
        <v>45187</v>
      </c>
      <c r="O294" s="1">
        <v>45225</v>
      </c>
      <c r="P294" s="1">
        <v>45266</v>
      </c>
      <c r="Q294" s="1">
        <v>45143</v>
      </c>
      <c r="R294" s="1">
        <v>45237</v>
      </c>
    </row>
    <row r="295" spans="2:18" hidden="1" x14ac:dyDescent="0.25">
      <c r="B295" t="s">
        <v>114</v>
      </c>
      <c r="C295" t="s">
        <v>115</v>
      </c>
      <c r="D295" t="s">
        <v>20</v>
      </c>
      <c r="E295" t="s">
        <v>21</v>
      </c>
      <c r="F295" t="s">
        <v>116</v>
      </c>
      <c r="G295" t="s">
        <v>28</v>
      </c>
      <c r="H295" t="s">
        <v>24</v>
      </c>
      <c r="J295">
        <v>2</v>
      </c>
      <c r="K295" s="1">
        <v>45110</v>
      </c>
      <c r="L295" s="1">
        <v>45127</v>
      </c>
      <c r="M295" s="1">
        <v>45189</v>
      </c>
      <c r="N295" s="1">
        <v>45206</v>
      </c>
      <c r="O295" s="1">
        <v>45224</v>
      </c>
      <c r="P295" s="1">
        <v>45267</v>
      </c>
      <c r="Q295" s="1">
        <v>45172</v>
      </c>
      <c r="R295" s="1">
        <v>45251</v>
      </c>
    </row>
    <row r="296" spans="2:18" hidden="1" x14ac:dyDescent="0.25">
      <c r="B296" t="s">
        <v>114</v>
      </c>
      <c r="C296" t="s">
        <v>115</v>
      </c>
      <c r="D296" t="s">
        <v>20</v>
      </c>
      <c r="E296" t="s">
        <v>21</v>
      </c>
      <c r="F296" t="s">
        <v>116</v>
      </c>
      <c r="G296" t="s">
        <v>28</v>
      </c>
      <c r="H296" t="s">
        <v>25</v>
      </c>
      <c r="J296">
        <v>1</v>
      </c>
      <c r="K296" s="1">
        <v>45062</v>
      </c>
      <c r="L296" s="1">
        <v>45075</v>
      </c>
      <c r="M296" s="1">
        <v>45155</v>
      </c>
      <c r="N296" s="1">
        <v>45187</v>
      </c>
      <c r="O296" s="1">
        <v>45225</v>
      </c>
      <c r="P296" s="1">
        <v>45263</v>
      </c>
      <c r="Q296" s="1">
        <v>45143</v>
      </c>
      <c r="R296" s="1">
        <v>45237</v>
      </c>
    </row>
    <row r="297" spans="2:18" hidden="1" x14ac:dyDescent="0.25">
      <c r="B297" t="s">
        <v>114</v>
      </c>
      <c r="C297" t="s">
        <v>115</v>
      </c>
      <c r="D297" t="s">
        <v>20</v>
      </c>
      <c r="E297" t="s">
        <v>21</v>
      </c>
      <c r="F297" t="s">
        <v>116</v>
      </c>
      <c r="G297" t="s">
        <v>28</v>
      </c>
      <c r="H297" t="s">
        <v>25</v>
      </c>
      <c r="J297">
        <v>2</v>
      </c>
      <c r="K297" s="1">
        <v>45110</v>
      </c>
      <c r="L297" s="1">
        <v>45127</v>
      </c>
      <c r="M297" s="1">
        <v>45189</v>
      </c>
      <c r="N297" s="1">
        <v>45204</v>
      </c>
      <c r="O297" s="1">
        <v>45226</v>
      </c>
      <c r="P297" s="1">
        <v>45267</v>
      </c>
      <c r="Q297" s="1">
        <v>45170</v>
      </c>
      <c r="R297" s="1">
        <v>45250</v>
      </c>
    </row>
    <row r="298" spans="2:18" hidden="1" x14ac:dyDescent="0.25">
      <c r="B298" t="s">
        <v>117</v>
      </c>
      <c r="C298" t="s">
        <v>118</v>
      </c>
      <c r="D298" t="s">
        <v>46</v>
      </c>
      <c r="E298" t="s">
        <v>21</v>
      </c>
      <c r="F298" t="s">
        <v>116</v>
      </c>
      <c r="G298" t="s">
        <v>47</v>
      </c>
      <c r="H298" t="s">
        <v>24</v>
      </c>
      <c r="J298">
        <v>1</v>
      </c>
      <c r="K298" s="1">
        <v>45062</v>
      </c>
      <c r="L298" s="1">
        <v>45076</v>
      </c>
      <c r="M298" s="1">
        <v>45161</v>
      </c>
      <c r="N298" s="1">
        <v>45187</v>
      </c>
      <c r="O298" s="1">
        <v>45189</v>
      </c>
      <c r="P298" s="1">
        <v>45251</v>
      </c>
      <c r="Q298" s="1">
        <v>45162</v>
      </c>
      <c r="R298" s="1">
        <v>45223</v>
      </c>
    </row>
    <row r="299" spans="2:18" hidden="1" x14ac:dyDescent="0.25">
      <c r="B299" t="s">
        <v>117</v>
      </c>
      <c r="C299" t="s">
        <v>118</v>
      </c>
      <c r="D299" t="s">
        <v>46</v>
      </c>
      <c r="E299" t="s">
        <v>21</v>
      </c>
      <c r="F299" t="s">
        <v>116</v>
      </c>
      <c r="G299" t="s">
        <v>47</v>
      </c>
      <c r="H299" t="s">
        <v>24</v>
      </c>
      <c r="J299">
        <v>2</v>
      </c>
      <c r="K299" s="1">
        <v>45110</v>
      </c>
      <c r="L299" s="1">
        <v>45120</v>
      </c>
      <c r="M299" s="1">
        <v>45187</v>
      </c>
      <c r="N299" s="1">
        <v>45201</v>
      </c>
      <c r="O299" s="1">
        <v>45208</v>
      </c>
      <c r="P299" s="1">
        <v>45252</v>
      </c>
      <c r="Q299" s="1">
        <v>45180</v>
      </c>
      <c r="R299" s="1">
        <v>45237</v>
      </c>
    </row>
    <row r="300" spans="2:18" hidden="1" x14ac:dyDescent="0.25">
      <c r="B300" t="s">
        <v>117</v>
      </c>
      <c r="C300" t="s">
        <v>118</v>
      </c>
      <c r="D300" t="s">
        <v>46</v>
      </c>
      <c r="E300" t="s">
        <v>21</v>
      </c>
      <c r="F300" t="s">
        <v>116</v>
      </c>
      <c r="G300" t="s">
        <v>47</v>
      </c>
      <c r="H300" t="s">
        <v>25</v>
      </c>
      <c r="J300">
        <v>1</v>
      </c>
      <c r="K300" s="1">
        <v>45062</v>
      </c>
      <c r="L300" s="1">
        <v>45076</v>
      </c>
      <c r="M300" s="1">
        <v>45157</v>
      </c>
      <c r="N300" s="1">
        <v>45187</v>
      </c>
      <c r="O300" s="1">
        <v>45193</v>
      </c>
      <c r="P300" s="1">
        <v>45251</v>
      </c>
      <c r="Q300" s="1">
        <v>45162</v>
      </c>
      <c r="R300" s="1">
        <v>45223</v>
      </c>
    </row>
    <row r="301" spans="2:18" hidden="1" x14ac:dyDescent="0.25">
      <c r="B301" t="s">
        <v>117</v>
      </c>
      <c r="C301" t="s">
        <v>118</v>
      </c>
      <c r="D301" t="s">
        <v>46</v>
      </c>
      <c r="E301" t="s">
        <v>21</v>
      </c>
      <c r="F301" t="s">
        <v>116</v>
      </c>
      <c r="G301" t="s">
        <v>47</v>
      </c>
      <c r="H301" t="s">
        <v>25</v>
      </c>
      <c r="J301">
        <v>2</v>
      </c>
      <c r="K301" s="1">
        <v>45110</v>
      </c>
      <c r="L301" s="1">
        <v>45120</v>
      </c>
      <c r="M301" s="1">
        <v>45187</v>
      </c>
      <c r="N301" s="1">
        <v>45198</v>
      </c>
      <c r="O301" s="1">
        <v>45210</v>
      </c>
      <c r="P301" s="1">
        <v>45252</v>
      </c>
      <c r="Q301" s="1">
        <v>45175</v>
      </c>
      <c r="R301" s="1">
        <v>45234</v>
      </c>
    </row>
    <row r="302" spans="2:18" hidden="1" x14ac:dyDescent="0.25">
      <c r="B302" t="s">
        <v>117</v>
      </c>
      <c r="C302" t="s">
        <v>118</v>
      </c>
      <c r="D302" t="s">
        <v>46</v>
      </c>
      <c r="E302" t="s">
        <v>21</v>
      </c>
      <c r="F302" t="s">
        <v>116</v>
      </c>
      <c r="G302" t="s">
        <v>48</v>
      </c>
      <c r="H302" t="s">
        <v>24</v>
      </c>
      <c r="J302">
        <v>1</v>
      </c>
      <c r="K302" s="1">
        <v>45062</v>
      </c>
      <c r="L302" s="1">
        <v>45076</v>
      </c>
      <c r="M302" s="1">
        <v>45161</v>
      </c>
      <c r="N302" s="1">
        <v>45187</v>
      </c>
      <c r="O302" s="1">
        <v>45196</v>
      </c>
      <c r="P302" s="1">
        <v>45252</v>
      </c>
      <c r="Q302" s="1">
        <v>45162</v>
      </c>
      <c r="R302" s="1">
        <v>45223</v>
      </c>
    </row>
    <row r="303" spans="2:18" hidden="1" x14ac:dyDescent="0.25">
      <c r="B303" t="s">
        <v>117</v>
      </c>
      <c r="C303" t="s">
        <v>118</v>
      </c>
      <c r="D303" t="s">
        <v>46</v>
      </c>
      <c r="E303" t="s">
        <v>21</v>
      </c>
      <c r="F303" t="s">
        <v>116</v>
      </c>
      <c r="G303" t="s">
        <v>48</v>
      </c>
      <c r="H303" t="s">
        <v>24</v>
      </c>
      <c r="J303">
        <v>2</v>
      </c>
      <c r="K303" s="1">
        <v>45110</v>
      </c>
      <c r="L303" s="1">
        <v>45120</v>
      </c>
      <c r="M303" s="1">
        <v>45187</v>
      </c>
      <c r="N303" s="1">
        <v>45201</v>
      </c>
      <c r="O303" s="1">
        <v>45208</v>
      </c>
      <c r="P303" s="1">
        <v>45252</v>
      </c>
      <c r="Q303" s="1">
        <v>45180</v>
      </c>
      <c r="R303" s="1">
        <v>45237</v>
      </c>
    </row>
    <row r="304" spans="2:18" hidden="1" x14ac:dyDescent="0.25">
      <c r="B304" t="s">
        <v>117</v>
      </c>
      <c r="C304" t="s">
        <v>118</v>
      </c>
      <c r="D304" t="s">
        <v>46</v>
      </c>
      <c r="E304" t="s">
        <v>21</v>
      </c>
      <c r="F304" t="s">
        <v>116</v>
      </c>
      <c r="G304" t="s">
        <v>48</v>
      </c>
      <c r="H304" t="s">
        <v>25</v>
      </c>
      <c r="J304">
        <v>1</v>
      </c>
      <c r="K304" s="1">
        <v>45062</v>
      </c>
      <c r="L304" s="1">
        <v>45076</v>
      </c>
      <c r="M304" s="1">
        <v>45155</v>
      </c>
      <c r="N304" s="1">
        <v>45187</v>
      </c>
      <c r="O304" s="1">
        <v>45196</v>
      </c>
      <c r="P304" s="1">
        <v>45252</v>
      </c>
      <c r="Q304" s="1">
        <v>45162</v>
      </c>
      <c r="R304" s="1">
        <v>45223</v>
      </c>
    </row>
    <row r="305" spans="2:18" hidden="1" x14ac:dyDescent="0.25">
      <c r="B305" t="s">
        <v>117</v>
      </c>
      <c r="C305" t="s">
        <v>118</v>
      </c>
      <c r="D305" t="s">
        <v>46</v>
      </c>
      <c r="E305" t="s">
        <v>21</v>
      </c>
      <c r="F305" t="s">
        <v>116</v>
      </c>
      <c r="G305" t="s">
        <v>48</v>
      </c>
      <c r="H305" t="s">
        <v>25</v>
      </c>
      <c r="J305">
        <v>2</v>
      </c>
      <c r="K305" s="1">
        <v>45110</v>
      </c>
      <c r="L305" s="1">
        <v>45120</v>
      </c>
      <c r="M305" s="1">
        <v>45187</v>
      </c>
      <c r="N305" s="1">
        <v>45198</v>
      </c>
      <c r="O305" s="1">
        <v>45207</v>
      </c>
      <c r="P305" s="1">
        <v>45252</v>
      </c>
      <c r="Q305" s="1">
        <v>45175</v>
      </c>
      <c r="R305" s="1">
        <v>45234</v>
      </c>
    </row>
    <row r="306" spans="2:18" hidden="1" x14ac:dyDescent="0.25">
      <c r="B306" t="s">
        <v>117</v>
      </c>
      <c r="C306" t="s">
        <v>118</v>
      </c>
      <c r="D306" t="s">
        <v>46</v>
      </c>
      <c r="E306" t="s">
        <v>21</v>
      </c>
      <c r="F306" t="s">
        <v>116</v>
      </c>
      <c r="G306" t="s">
        <v>49</v>
      </c>
      <c r="H306" t="s">
        <v>24</v>
      </c>
      <c r="J306">
        <v>1</v>
      </c>
      <c r="K306" s="1">
        <v>45062</v>
      </c>
      <c r="L306" s="1">
        <v>45076</v>
      </c>
      <c r="M306" s="1">
        <v>45161</v>
      </c>
      <c r="N306" s="1">
        <v>45184</v>
      </c>
      <c r="O306" s="1">
        <v>45193</v>
      </c>
      <c r="P306" s="1">
        <v>45251</v>
      </c>
      <c r="Q306" s="1">
        <v>45157</v>
      </c>
      <c r="R306" s="1">
        <v>45220</v>
      </c>
    </row>
    <row r="307" spans="2:18" hidden="1" x14ac:dyDescent="0.25">
      <c r="B307" t="s">
        <v>117</v>
      </c>
      <c r="C307" t="s">
        <v>118</v>
      </c>
      <c r="D307" t="s">
        <v>46</v>
      </c>
      <c r="E307" t="s">
        <v>21</v>
      </c>
      <c r="F307" t="s">
        <v>116</v>
      </c>
      <c r="G307" t="s">
        <v>49</v>
      </c>
      <c r="H307" t="s">
        <v>24</v>
      </c>
      <c r="J307">
        <v>2</v>
      </c>
      <c r="K307" s="1">
        <v>45110</v>
      </c>
      <c r="L307" s="1">
        <v>45120</v>
      </c>
      <c r="M307" s="1">
        <v>45187</v>
      </c>
      <c r="N307" s="1">
        <v>45201</v>
      </c>
      <c r="O307" s="1">
        <v>45208</v>
      </c>
      <c r="P307" s="1">
        <v>45252</v>
      </c>
      <c r="Q307" s="1">
        <v>45180</v>
      </c>
      <c r="R307" s="1">
        <v>45237</v>
      </c>
    </row>
    <row r="308" spans="2:18" hidden="1" x14ac:dyDescent="0.25">
      <c r="B308" t="s">
        <v>117</v>
      </c>
      <c r="C308" t="s">
        <v>118</v>
      </c>
      <c r="D308" t="s">
        <v>46</v>
      </c>
      <c r="E308" t="s">
        <v>21</v>
      </c>
      <c r="F308" t="s">
        <v>116</v>
      </c>
      <c r="G308" t="s">
        <v>49</v>
      </c>
      <c r="H308" t="s">
        <v>25</v>
      </c>
      <c r="J308">
        <v>1</v>
      </c>
      <c r="K308" s="1">
        <v>45062</v>
      </c>
      <c r="L308" s="1">
        <v>45076</v>
      </c>
      <c r="M308" s="1">
        <v>45159</v>
      </c>
      <c r="N308" s="1">
        <v>45187</v>
      </c>
      <c r="O308" s="1">
        <v>45196</v>
      </c>
      <c r="P308" s="1">
        <v>45251</v>
      </c>
      <c r="Q308" s="1">
        <v>45162</v>
      </c>
      <c r="R308" s="1">
        <v>45223</v>
      </c>
    </row>
    <row r="309" spans="2:18" hidden="1" x14ac:dyDescent="0.25">
      <c r="B309" t="s">
        <v>117</v>
      </c>
      <c r="C309" t="s">
        <v>118</v>
      </c>
      <c r="D309" t="s">
        <v>46</v>
      </c>
      <c r="E309" t="s">
        <v>21</v>
      </c>
      <c r="F309" t="s">
        <v>116</v>
      </c>
      <c r="G309" t="s">
        <v>49</v>
      </c>
      <c r="H309" t="s">
        <v>25</v>
      </c>
      <c r="J309">
        <v>2</v>
      </c>
      <c r="K309" s="1">
        <v>45110</v>
      </c>
      <c r="L309" s="1">
        <v>45120</v>
      </c>
      <c r="M309" s="1">
        <v>45187</v>
      </c>
      <c r="N309" s="1">
        <v>45200</v>
      </c>
      <c r="O309" s="1">
        <v>45209</v>
      </c>
      <c r="P309" s="1">
        <v>45252</v>
      </c>
      <c r="Q309" s="1">
        <v>45178</v>
      </c>
      <c r="R309" s="1">
        <v>45236</v>
      </c>
    </row>
    <row r="310" spans="2:18" hidden="1" x14ac:dyDescent="0.25">
      <c r="B310" t="s">
        <v>117</v>
      </c>
      <c r="C310" t="s">
        <v>118</v>
      </c>
      <c r="D310" t="s">
        <v>46</v>
      </c>
      <c r="E310" t="s">
        <v>21</v>
      </c>
      <c r="F310" t="s">
        <v>116</v>
      </c>
      <c r="G310" t="s">
        <v>50</v>
      </c>
      <c r="H310" t="s">
        <v>24</v>
      </c>
      <c r="J310">
        <v>1</v>
      </c>
      <c r="K310" s="1">
        <v>45062</v>
      </c>
      <c r="L310" s="1">
        <v>45076</v>
      </c>
      <c r="M310" s="1">
        <v>45161</v>
      </c>
      <c r="N310" s="1">
        <v>45177</v>
      </c>
      <c r="O310" s="1">
        <v>45190</v>
      </c>
      <c r="P310" s="1">
        <v>45251</v>
      </c>
      <c r="Q310" s="1">
        <v>45148</v>
      </c>
      <c r="R310" s="1">
        <v>45215</v>
      </c>
    </row>
    <row r="311" spans="2:18" hidden="1" x14ac:dyDescent="0.25">
      <c r="B311" t="s">
        <v>117</v>
      </c>
      <c r="C311" t="s">
        <v>118</v>
      </c>
      <c r="D311" t="s">
        <v>46</v>
      </c>
      <c r="E311" t="s">
        <v>21</v>
      </c>
      <c r="F311" t="s">
        <v>116</v>
      </c>
      <c r="G311" t="s">
        <v>50</v>
      </c>
      <c r="H311" t="s">
        <v>24</v>
      </c>
      <c r="J311">
        <v>2</v>
      </c>
      <c r="K311" s="1">
        <v>45110</v>
      </c>
      <c r="L311" s="1">
        <v>45120</v>
      </c>
      <c r="M311" s="1">
        <v>45187</v>
      </c>
      <c r="N311" s="1">
        <v>45203</v>
      </c>
      <c r="O311" s="1">
        <v>45206</v>
      </c>
      <c r="P311" s="1">
        <v>45252</v>
      </c>
      <c r="Q311" s="1">
        <v>45182</v>
      </c>
      <c r="R311" s="1">
        <v>45239</v>
      </c>
    </row>
    <row r="312" spans="2:18" hidden="1" x14ac:dyDescent="0.25">
      <c r="B312" t="s">
        <v>117</v>
      </c>
      <c r="C312" t="s">
        <v>118</v>
      </c>
      <c r="D312" t="s">
        <v>46</v>
      </c>
      <c r="E312" t="s">
        <v>21</v>
      </c>
      <c r="F312" t="s">
        <v>116</v>
      </c>
      <c r="G312" t="s">
        <v>50</v>
      </c>
      <c r="H312" t="s">
        <v>25</v>
      </c>
      <c r="J312">
        <v>1</v>
      </c>
      <c r="K312" s="1">
        <v>45062</v>
      </c>
      <c r="L312" s="1">
        <v>45076</v>
      </c>
      <c r="M312" s="1">
        <v>45159</v>
      </c>
      <c r="N312" s="1">
        <v>45176</v>
      </c>
      <c r="O312" s="1">
        <v>45193</v>
      </c>
      <c r="P312" s="1">
        <v>45251</v>
      </c>
      <c r="Q312" s="1">
        <v>45147</v>
      </c>
      <c r="R312" s="1">
        <v>45214</v>
      </c>
    </row>
    <row r="313" spans="2:18" hidden="1" x14ac:dyDescent="0.25">
      <c r="B313" t="s">
        <v>117</v>
      </c>
      <c r="C313" t="s">
        <v>118</v>
      </c>
      <c r="D313" t="s">
        <v>46</v>
      </c>
      <c r="E313" t="s">
        <v>21</v>
      </c>
      <c r="F313" t="s">
        <v>116</v>
      </c>
      <c r="G313" t="s">
        <v>50</v>
      </c>
      <c r="H313" t="s">
        <v>25</v>
      </c>
      <c r="J313">
        <v>2</v>
      </c>
      <c r="K313" s="1">
        <v>45110</v>
      </c>
      <c r="L313" s="1">
        <v>45120</v>
      </c>
      <c r="M313" s="1">
        <v>45187</v>
      </c>
      <c r="N313" s="1">
        <v>45204</v>
      </c>
      <c r="O313" s="1">
        <v>45206</v>
      </c>
      <c r="P313" s="1">
        <v>45252</v>
      </c>
      <c r="Q313" s="1">
        <v>45183</v>
      </c>
      <c r="R313" s="1">
        <v>45239</v>
      </c>
    </row>
    <row r="314" spans="2:18" hidden="1" x14ac:dyDescent="0.25">
      <c r="B314" t="s">
        <v>119</v>
      </c>
      <c r="C314" t="s">
        <v>120</v>
      </c>
      <c r="D314" t="s">
        <v>20</v>
      </c>
      <c r="E314" t="s">
        <v>21</v>
      </c>
      <c r="F314" t="s">
        <v>121</v>
      </c>
      <c r="G314" t="s">
        <v>23</v>
      </c>
      <c r="H314" t="s">
        <v>24</v>
      </c>
      <c r="J314">
        <v>1</v>
      </c>
      <c r="K314" s="1">
        <v>45063</v>
      </c>
      <c r="L314" s="1">
        <v>45078</v>
      </c>
      <c r="M314" s="1">
        <v>45153</v>
      </c>
      <c r="N314" s="1">
        <v>45166</v>
      </c>
      <c r="O314" s="1">
        <v>45175</v>
      </c>
      <c r="P314" s="1">
        <v>45216</v>
      </c>
      <c r="Q314" s="1">
        <v>45131</v>
      </c>
      <c r="R314" s="1">
        <v>45207</v>
      </c>
    </row>
    <row r="315" spans="2:18" hidden="1" x14ac:dyDescent="0.25">
      <c r="B315" t="s">
        <v>119</v>
      </c>
      <c r="C315" t="s">
        <v>120</v>
      </c>
      <c r="D315" t="s">
        <v>20</v>
      </c>
      <c r="E315" t="s">
        <v>21</v>
      </c>
      <c r="F315" t="s">
        <v>121</v>
      </c>
      <c r="G315" t="s">
        <v>23</v>
      </c>
      <c r="H315" t="s">
        <v>24</v>
      </c>
      <c r="J315">
        <v>2</v>
      </c>
      <c r="K315" s="1">
        <v>45091</v>
      </c>
      <c r="L315" s="1">
        <v>45111</v>
      </c>
      <c r="M315" s="1">
        <v>45168</v>
      </c>
      <c r="N315" s="1">
        <v>45177</v>
      </c>
      <c r="O315" s="1">
        <v>45188</v>
      </c>
      <c r="P315" s="1">
        <v>45230</v>
      </c>
      <c r="Q315" s="1">
        <v>45145</v>
      </c>
      <c r="R315" s="1">
        <v>45215</v>
      </c>
    </row>
    <row r="316" spans="2:18" hidden="1" x14ac:dyDescent="0.25">
      <c r="B316" t="s">
        <v>119</v>
      </c>
      <c r="C316" t="s">
        <v>120</v>
      </c>
      <c r="D316" t="s">
        <v>20</v>
      </c>
      <c r="E316" t="s">
        <v>21</v>
      </c>
      <c r="F316" t="s">
        <v>121</v>
      </c>
      <c r="G316" t="s">
        <v>23</v>
      </c>
      <c r="H316" t="s">
        <v>25</v>
      </c>
      <c r="J316">
        <v>1</v>
      </c>
      <c r="K316" s="1">
        <v>45063</v>
      </c>
      <c r="L316" s="1">
        <v>45085</v>
      </c>
      <c r="M316" s="1">
        <v>45157</v>
      </c>
      <c r="N316" s="1">
        <v>45166</v>
      </c>
      <c r="O316" s="1">
        <v>45175</v>
      </c>
      <c r="P316" s="1">
        <v>45216</v>
      </c>
      <c r="Q316" s="1">
        <v>45131</v>
      </c>
      <c r="R316" s="1">
        <v>45207</v>
      </c>
    </row>
    <row r="317" spans="2:18" hidden="1" x14ac:dyDescent="0.25">
      <c r="B317" t="s">
        <v>119</v>
      </c>
      <c r="C317" t="s">
        <v>120</v>
      </c>
      <c r="D317" t="s">
        <v>20</v>
      </c>
      <c r="E317" t="s">
        <v>21</v>
      </c>
      <c r="F317" t="s">
        <v>121</v>
      </c>
      <c r="G317" t="s">
        <v>23</v>
      </c>
      <c r="H317" t="s">
        <v>25</v>
      </c>
      <c r="J317">
        <v>2</v>
      </c>
      <c r="K317" s="1">
        <v>45091</v>
      </c>
      <c r="L317" s="1">
        <v>45111</v>
      </c>
      <c r="M317" s="1">
        <v>45168</v>
      </c>
      <c r="N317" s="1">
        <v>45177</v>
      </c>
      <c r="O317" s="1">
        <v>45185</v>
      </c>
      <c r="P317" s="1">
        <v>45230</v>
      </c>
      <c r="Q317" s="1">
        <v>45145</v>
      </c>
      <c r="R317" s="1">
        <v>45215</v>
      </c>
    </row>
    <row r="318" spans="2:18" hidden="1" x14ac:dyDescent="0.25">
      <c r="B318" t="s">
        <v>119</v>
      </c>
      <c r="C318" t="s">
        <v>120</v>
      </c>
      <c r="D318" t="s">
        <v>20</v>
      </c>
      <c r="E318" t="s">
        <v>21</v>
      </c>
      <c r="F318" t="s">
        <v>121</v>
      </c>
      <c r="G318" t="s">
        <v>26</v>
      </c>
      <c r="H318" t="s">
        <v>24</v>
      </c>
      <c r="J318">
        <v>1</v>
      </c>
      <c r="K318" s="1">
        <v>45063</v>
      </c>
      <c r="L318" s="1">
        <v>45085</v>
      </c>
      <c r="M318" s="1">
        <v>45160</v>
      </c>
      <c r="N318" s="1">
        <v>45169</v>
      </c>
      <c r="O318" s="1">
        <v>45178</v>
      </c>
      <c r="P318" s="1">
        <v>45226</v>
      </c>
      <c r="Q318" s="1">
        <v>45135</v>
      </c>
      <c r="R318" s="1">
        <v>45209</v>
      </c>
    </row>
    <row r="319" spans="2:18" hidden="1" x14ac:dyDescent="0.25">
      <c r="B319" t="s">
        <v>119</v>
      </c>
      <c r="C319" t="s">
        <v>120</v>
      </c>
      <c r="D319" t="s">
        <v>20</v>
      </c>
      <c r="E319" t="s">
        <v>21</v>
      </c>
      <c r="F319" t="s">
        <v>121</v>
      </c>
      <c r="G319" t="s">
        <v>26</v>
      </c>
      <c r="H319" t="s">
        <v>24</v>
      </c>
      <c r="J319">
        <v>2</v>
      </c>
      <c r="K319" s="1">
        <v>45091</v>
      </c>
      <c r="L319" s="1">
        <v>45111</v>
      </c>
      <c r="M319" s="1">
        <v>45171</v>
      </c>
      <c r="N319" s="1">
        <v>45178</v>
      </c>
      <c r="O319" s="1">
        <v>45191</v>
      </c>
      <c r="P319" s="1">
        <v>45231</v>
      </c>
      <c r="Q319" s="1">
        <v>45146</v>
      </c>
      <c r="R319" s="1">
        <v>45216</v>
      </c>
    </row>
    <row r="320" spans="2:18" hidden="1" x14ac:dyDescent="0.25">
      <c r="B320" t="s">
        <v>119</v>
      </c>
      <c r="C320" t="s">
        <v>120</v>
      </c>
      <c r="D320" t="s">
        <v>20</v>
      </c>
      <c r="E320" t="s">
        <v>21</v>
      </c>
      <c r="F320" t="s">
        <v>121</v>
      </c>
      <c r="G320" t="s">
        <v>26</v>
      </c>
      <c r="H320" t="s">
        <v>25</v>
      </c>
      <c r="J320">
        <v>1</v>
      </c>
      <c r="K320" s="1">
        <v>45063</v>
      </c>
      <c r="L320" s="1">
        <v>45085</v>
      </c>
      <c r="M320" s="1">
        <v>45162</v>
      </c>
      <c r="N320" s="1">
        <v>45168</v>
      </c>
      <c r="O320" s="1">
        <v>45179</v>
      </c>
      <c r="P320" s="1">
        <v>45231</v>
      </c>
      <c r="Q320" s="1">
        <v>45134</v>
      </c>
      <c r="R320" s="1">
        <v>45209</v>
      </c>
    </row>
    <row r="321" spans="2:18" hidden="1" x14ac:dyDescent="0.25">
      <c r="B321" t="s">
        <v>119</v>
      </c>
      <c r="C321" t="s">
        <v>120</v>
      </c>
      <c r="D321" t="s">
        <v>20</v>
      </c>
      <c r="E321" t="s">
        <v>21</v>
      </c>
      <c r="F321" t="s">
        <v>121</v>
      </c>
      <c r="G321" t="s">
        <v>26</v>
      </c>
      <c r="H321" t="s">
        <v>25</v>
      </c>
      <c r="J321">
        <v>2</v>
      </c>
      <c r="K321" s="1">
        <v>45091</v>
      </c>
      <c r="L321" s="1">
        <v>45111</v>
      </c>
      <c r="M321" s="1">
        <v>45168</v>
      </c>
      <c r="N321" s="1">
        <v>45178</v>
      </c>
      <c r="O321" s="1">
        <v>45185</v>
      </c>
      <c r="P321" s="1">
        <v>45231</v>
      </c>
      <c r="Q321" s="1">
        <v>45146</v>
      </c>
      <c r="R321" s="1">
        <v>45216</v>
      </c>
    </row>
    <row r="322" spans="2:18" hidden="1" x14ac:dyDescent="0.25">
      <c r="B322" t="s">
        <v>119</v>
      </c>
      <c r="C322" t="s">
        <v>120</v>
      </c>
      <c r="D322" t="s">
        <v>20</v>
      </c>
      <c r="E322" t="s">
        <v>21</v>
      </c>
      <c r="F322" t="s">
        <v>121</v>
      </c>
      <c r="G322" t="s">
        <v>27</v>
      </c>
      <c r="H322" t="s">
        <v>24</v>
      </c>
      <c r="J322">
        <v>1</v>
      </c>
      <c r="K322" s="1">
        <v>45063</v>
      </c>
      <c r="L322" s="1">
        <v>45078</v>
      </c>
      <c r="M322" s="1">
        <v>45162</v>
      </c>
      <c r="N322" s="1">
        <v>45169</v>
      </c>
      <c r="O322" s="1">
        <v>45182</v>
      </c>
      <c r="P322" s="1">
        <v>45228</v>
      </c>
      <c r="Q322" s="1">
        <v>45135</v>
      </c>
      <c r="R322" s="1">
        <v>45209</v>
      </c>
    </row>
    <row r="323" spans="2:18" hidden="1" x14ac:dyDescent="0.25">
      <c r="B323" t="s">
        <v>119</v>
      </c>
      <c r="C323" t="s">
        <v>120</v>
      </c>
      <c r="D323" t="s">
        <v>20</v>
      </c>
      <c r="E323" t="s">
        <v>21</v>
      </c>
      <c r="F323" t="s">
        <v>121</v>
      </c>
      <c r="G323" t="s">
        <v>27</v>
      </c>
      <c r="H323" t="s">
        <v>24</v>
      </c>
      <c r="J323">
        <v>2</v>
      </c>
      <c r="K323" s="1">
        <v>45091</v>
      </c>
      <c r="L323" s="1">
        <v>45111</v>
      </c>
      <c r="M323" s="1">
        <v>45174</v>
      </c>
      <c r="N323" s="1">
        <v>45182</v>
      </c>
      <c r="O323" s="1">
        <v>45195</v>
      </c>
      <c r="P323" s="1">
        <v>45231</v>
      </c>
      <c r="Q323" s="1">
        <v>45153</v>
      </c>
      <c r="R323" s="1">
        <v>45219</v>
      </c>
    </row>
    <row r="324" spans="2:18" hidden="1" x14ac:dyDescent="0.25">
      <c r="B324" t="s">
        <v>119</v>
      </c>
      <c r="C324" t="s">
        <v>120</v>
      </c>
      <c r="D324" t="s">
        <v>20</v>
      </c>
      <c r="E324" t="s">
        <v>21</v>
      </c>
      <c r="F324" t="s">
        <v>121</v>
      </c>
      <c r="G324" t="s">
        <v>27</v>
      </c>
      <c r="H324" t="s">
        <v>25</v>
      </c>
      <c r="J324">
        <v>1</v>
      </c>
      <c r="K324" s="1">
        <v>45063</v>
      </c>
      <c r="L324" s="1">
        <v>45085</v>
      </c>
      <c r="M324" s="1">
        <v>45162</v>
      </c>
      <c r="N324" s="1">
        <v>45168</v>
      </c>
      <c r="O324" s="1">
        <v>45178</v>
      </c>
      <c r="P324" s="1">
        <v>45231</v>
      </c>
      <c r="Q324" s="1">
        <v>45134</v>
      </c>
      <c r="R324" s="1">
        <v>45209</v>
      </c>
    </row>
    <row r="325" spans="2:18" hidden="1" x14ac:dyDescent="0.25">
      <c r="B325" t="s">
        <v>119</v>
      </c>
      <c r="C325" t="s">
        <v>120</v>
      </c>
      <c r="D325" t="s">
        <v>20</v>
      </c>
      <c r="E325" t="s">
        <v>21</v>
      </c>
      <c r="F325" t="s">
        <v>121</v>
      </c>
      <c r="G325" t="s">
        <v>27</v>
      </c>
      <c r="H325" t="s">
        <v>25</v>
      </c>
      <c r="J325">
        <v>2</v>
      </c>
      <c r="K325" s="1">
        <v>45091</v>
      </c>
      <c r="L325" s="1">
        <v>45111</v>
      </c>
      <c r="M325" s="1">
        <v>45168</v>
      </c>
      <c r="N325" s="1">
        <v>45177</v>
      </c>
      <c r="O325" s="1">
        <v>45187</v>
      </c>
      <c r="P325" s="1">
        <v>45231</v>
      </c>
      <c r="Q325" s="1">
        <v>45145</v>
      </c>
      <c r="R325" s="1">
        <v>45215</v>
      </c>
    </row>
    <row r="326" spans="2:18" hidden="1" x14ac:dyDescent="0.25">
      <c r="B326" t="s">
        <v>119</v>
      </c>
      <c r="C326" t="s">
        <v>120</v>
      </c>
      <c r="D326" t="s">
        <v>20</v>
      </c>
      <c r="E326" t="s">
        <v>21</v>
      </c>
      <c r="F326" t="s">
        <v>121</v>
      </c>
      <c r="G326" t="s">
        <v>28</v>
      </c>
      <c r="H326" t="s">
        <v>24</v>
      </c>
      <c r="J326">
        <v>1</v>
      </c>
      <c r="K326" s="1">
        <v>45063</v>
      </c>
      <c r="L326" s="1">
        <v>45078</v>
      </c>
      <c r="M326" s="1">
        <v>45156</v>
      </c>
      <c r="N326" s="1">
        <v>45166</v>
      </c>
      <c r="O326" s="1">
        <v>45176</v>
      </c>
      <c r="P326" s="1">
        <v>45216</v>
      </c>
      <c r="Q326" s="1">
        <v>45131</v>
      </c>
      <c r="R326" s="1">
        <v>45207</v>
      </c>
    </row>
    <row r="327" spans="2:18" hidden="1" x14ac:dyDescent="0.25">
      <c r="B327" t="s">
        <v>119</v>
      </c>
      <c r="C327" t="s">
        <v>120</v>
      </c>
      <c r="D327" t="s">
        <v>20</v>
      </c>
      <c r="E327" t="s">
        <v>21</v>
      </c>
      <c r="F327" t="s">
        <v>121</v>
      </c>
      <c r="G327" t="s">
        <v>28</v>
      </c>
      <c r="H327" t="s">
        <v>24</v>
      </c>
      <c r="J327">
        <v>2</v>
      </c>
      <c r="K327" s="1">
        <v>45091</v>
      </c>
      <c r="L327" s="1">
        <v>45111</v>
      </c>
      <c r="M327" s="1" t="e">
        <v>#NUM!</v>
      </c>
      <c r="N327" s="1">
        <v>45171</v>
      </c>
      <c r="O327" s="1">
        <v>45184</v>
      </c>
      <c r="P327" s="1">
        <v>45230</v>
      </c>
      <c r="Q327" s="1">
        <v>45138</v>
      </c>
      <c r="R327" s="1">
        <v>45212</v>
      </c>
    </row>
    <row r="328" spans="2:18" hidden="1" x14ac:dyDescent="0.25">
      <c r="B328" t="s">
        <v>119</v>
      </c>
      <c r="C328" t="s">
        <v>120</v>
      </c>
      <c r="D328" t="s">
        <v>20</v>
      </c>
      <c r="E328" t="s">
        <v>21</v>
      </c>
      <c r="F328" t="s">
        <v>121</v>
      </c>
      <c r="G328" t="s">
        <v>28</v>
      </c>
      <c r="H328" t="s">
        <v>25</v>
      </c>
      <c r="J328">
        <v>1</v>
      </c>
      <c r="K328" s="1">
        <v>45063</v>
      </c>
      <c r="L328" s="1">
        <v>45081</v>
      </c>
      <c r="M328" s="1">
        <v>45156</v>
      </c>
      <c r="N328" s="1">
        <v>45164</v>
      </c>
      <c r="O328" s="1">
        <v>45173</v>
      </c>
      <c r="P328" s="1">
        <v>45223</v>
      </c>
      <c r="Q328" s="1">
        <v>45127</v>
      </c>
      <c r="R328" s="1">
        <v>45205</v>
      </c>
    </row>
    <row r="329" spans="2:18" hidden="1" x14ac:dyDescent="0.25">
      <c r="B329" t="s">
        <v>119</v>
      </c>
      <c r="C329" t="s">
        <v>120</v>
      </c>
      <c r="D329" t="s">
        <v>20</v>
      </c>
      <c r="E329" t="s">
        <v>21</v>
      </c>
      <c r="F329" t="s">
        <v>121</v>
      </c>
      <c r="G329" t="s">
        <v>28</v>
      </c>
      <c r="H329" t="s">
        <v>25</v>
      </c>
      <c r="J329">
        <v>2</v>
      </c>
      <c r="K329" s="1">
        <v>45091</v>
      </c>
      <c r="L329" s="1">
        <v>45104</v>
      </c>
      <c r="M329" s="1">
        <v>45166</v>
      </c>
      <c r="N329" s="1">
        <v>45174</v>
      </c>
      <c r="O329" s="1">
        <v>45182</v>
      </c>
      <c r="P329" s="1">
        <v>45230</v>
      </c>
      <c r="Q329" s="1">
        <v>45140</v>
      </c>
      <c r="R329" s="1">
        <v>45213</v>
      </c>
    </row>
    <row r="330" spans="2:18" hidden="1" x14ac:dyDescent="0.25">
      <c r="B330" t="s">
        <v>122</v>
      </c>
      <c r="C330" t="s">
        <v>123</v>
      </c>
      <c r="D330" t="s">
        <v>38</v>
      </c>
      <c r="E330" t="s">
        <v>58</v>
      </c>
      <c r="F330" t="s">
        <v>76</v>
      </c>
      <c r="G330" t="s">
        <v>40</v>
      </c>
      <c r="H330" t="s">
        <v>25</v>
      </c>
      <c r="J330">
        <v>1</v>
      </c>
      <c r="K330" s="1">
        <v>45040</v>
      </c>
      <c r="L330" s="1">
        <v>45050</v>
      </c>
      <c r="M330" s="1">
        <v>45125</v>
      </c>
      <c r="N330" s="1">
        <v>45150</v>
      </c>
      <c r="O330" s="1">
        <v>45168</v>
      </c>
      <c r="P330" s="1">
        <v>45218</v>
      </c>
      <c r="Q330" s="1">
        <v>45122</v>
      </c>
      <c r="R330" s="1">
        <v>45189</v>
      </c>
    </row>
    <row r="331" spans="2:18" hidden="1" x14ac:dyDescent="0.25">
      <c r="B331" t="s">
        <v>122</v>
      </c>
      <c r="C331" t="s">
        <v>123</v>
      </c>
      <c r="D331" t="s">
        <v>38</v>
      </c>
      <c r="E331" t="s">
        <v>58</v>
      </c>
      <c r="F331" t="s">
        <v>76</v>
      </c>
      <c r="G331" t="s">
        <v>124</v>
      </c>
      <c r="H331" t="s">
        <v>25</v>
      </c>
      <c r="J331">
        <v>1</v>
      </c>
      <c r="K331" s="1">
        <v>45040</v>
      </c>
      <c r="L331" s="1">
        <v>45050</v>
      </c>
      <c r="M331" s="1">
        <v>45104</v>
      </c>
      <c r="N331" s="1">
        <v>45118</v>
      </c>
      <c r="O331" s="1">
        <v>45171</v>
      </c>
      <c r="P331" s="1">
        <v>45218</v>
      </c>
      <c r="Q331" s="1">
        <v>45086</v>
      </c>
      <c r="R331" s="1">
        <v>45164</v>
      </c>
    </row>
    <row r="332" spans="2:18" hidden="1" x14ac:dyDescent="0.25">
      <c r="B332" t="s">
        <v>122</v>
      </c>
      <c r="C332" t="s">
        <v>123</v>
      </c>
      <c r="D332" t="s">
        <v>38</v>
      </c>
      <c r="E332" t="s">
        <v>58</v>
      </c>
      <c r="F332" t="s">
        <v>76</v>
      </c>
      <c r="G332" t="s">
        <v>41</v>
      </c>
      <c r="H332" t="s">
        <v>25</v>
      </c>
      <c r="J332">
        <v>1</v>
      </c>
      <c r="K332" s="1">
        <v>45040</v>
      </c>
      <c r="L332" s="1">
        <v>45050</v>
      </c>
      <c r="M332" s="1">
        <v>45104</v>
      </c>
      <c r="N332" s="1">
        <v>45132</v>
      </c>
      <c r="O332" s="1">
        <v>45171</v>
      </c>
      <c r="P332" s="1">
        <v>45218</v>
      </c>
      <c r="Q332" s="1">
        <v>45101</v>
      </c>
      <c r="R332" s="1">
        <v>45174</v>
      </c>
    </row>
    <row r="333" spans="2:18" hidden="1" x14ac:dyDescent="0.25">
      <c r="B333" t="s">
        <v>122</v>
      </c>
      <c r="C333" t="s">
        <v>123</v>
      </c>
      <c r="D333" t="s">
        <v>38</v>
      </c>
      <c r="E333" t="s">
        <v>58</v>
      </c>
      <c r="F333" t="s">
        <v>76</v>
      </c>
      <c r="G333" t="s">
        <v>125</v>
      </c>
      <c r="H333" t="s">
        <v>25</v>
      </c>
      <c r="J333">
        <v>1</v>
      </c>
      <c r="K333" s="1">
        <v>45040</v>
      </c>
      <c r="L333" s="1">
        <v>45050</v>
      </c>
      <c r="M333" s="1">
        <v>45104</v>
      </c>
      <c r="N333" s="1">
        <v>45127</v>
      </c>
      <c r="O333" s="1">
        <v>45171</v>
      </c>
      <c r="P333" s="1">
        <v>45218</v>
      </c>
      <c r="Q333" s="1">
        <v>45095</v>
      </c>
      <c r="R333" s="1">
        <v>45171</v>
      </c>
    </row>
    <row r="334" spans="2:18" hidden="1" x14ac:dyDescent="0.25">
      <c r="B334" t="s">
        <v>122</v>
      </c>
      <c r="C334" t="s">
        <v>123</v>
      </c>
      <c r="D334" t="s">
        <v>38</v>
      </c>
      <c r="E334" t="s">
        <v>58</v>
      </c>
      <c r="F334" t="s">
        <v>76</v>
      </c>
      <c r="G334" t="s">
        <v>42</v>
      </c>
      <c r="H334" t="s">
        <v>25</v>
      </c>
      <c r="J334">
        <v>1</v>
      </c>
      <c r="K334" s="1">
        <v>45040</v>
      </c>
      <c r="L334" s="1">
        <v>45050</v>
      </c>
      <c r="M334" s="1">
        <v>45099</v>
      </c>
      <c r="N334" s="1">
        <v>45127</v>
      </c>
      <c r="O334" s="1">
        <v>45165</v>
      </c>
      <c r="P334" s="1">
        <v>45218</v>
      </c>
      <c r="Q334" s="1">
        <v>45095</v>
      </c>
      <c r="R334" s="1">
        <v>45171</v>
      </c>
    </row>
    <row r="335" spans="2:18" hidden="1" x14ac:dyDescent="0.25">
      <c r="B335" t="s">
        <v>122</v>
      </c>
      <c r="C335" t="s">
        <v>123</v>
      </c>
      <c r="D335" t="s">
        <v>38</v>
      </c>
      <c r="E335" t="s">
        <v>58</v>
      </c>
      <c r="F335" t="s">
        <v>76</v>
      </c>
      <c r="G335" t="s">
        <v>43</v>
      </c>
      <c r="H335" t="s">
        <v>25</v>
      </c>
      <c r="J335">
        <v>1</v>
      </c>
      <c r="K335" s="1">
        <v>45040</v>
      </c>
      <c r="L335" s="1">
        <v>45050</v>
      </c>
      <c r="M335" s="1">
        <v>45113</v>
      </c>
      <c r="N335" s="1">
        <v>45147</v>
      </c>
      <c r="O335" s="1">
        <v>45168</v>
      </c>
      <c r="P335" s="1">
        <v>45229</v>
      </c>
      <c r="Q335" s="1">
        <v>45119</v>
      </c>
      <c r="R335" s="1">
        <v>45187</v>
      </c>
    </row>
    <row r="336" spans="2:18" hidden="1" x14ac:dyDescent="0.25">
      <c r="B336" t="s">
        <v>122</v>
      </c>
      <c r="C336" t="s">
        <v>123</v>
      </c>
      <c r="D336" t="s">
        <v>38</v>
      </c>
      <c r="E336" t="s">
        <v>58</v>
      </c>
      <c r="F336" t="s">
        <v>76</v>
      </c>
      <c r="G336" t="s">
        <v>40</v>
      </c>
      <c r="H336" t="s">
        <v>25</v>
      </c>
      <c r="J336">
        <v>2</v>
      </c>
      <c r="K336" s="1">
        <v>45064</v>
      </c>
      <c r="L336" s="1">
        <v>45082</v>
      </c>
      <c r="M336" s="1">
        <v>45137</v>
      </c>
      <c r="N336" s="1">
        <v>45162</v>
      </c>
      <c r="O336" s="1">
        <v>45175</v>
      </c>
      <c r="P336" s="1">
        <v>45229</v>
      </c>
      <c r="Q336" s="1">
        <v>45136</v>
      </c>
      <c r="R336" s="1">
        <v>45196</v>
      </c>
    </row>
    <row r="337" spans="2:18" hidden="1" x14ac:dyDescent="0.25">
      <c r="B337" t="s">
        <v>122</v>
      </c>
      <c r="C337" t="s">
        <v>123</v>
      </c>
      <c r="D337" t="s">
        <v>38</v>
      </c>
      <c r="E337" t="s">
        <v>58</v>
      </c>
      <c r="F337" t="s">
        <v>76</v>
      </c>
      <c r="G337" t="s">
        <v>124</v>
      </c>
      <c r="H337" t="s">
        <v>25</v>
      </c>
      <c r="J337">
        <v>2</v>
      </c>
      <c r="K337" s="1">
        <v>45064</v>
      </c>
      <c r="L337" s="1">
        <v>45082</v>
      </c>
      <c r="M337" s="1">
        <v>45134</v>
      </c>
      <c r="N337" s="1">
        <v>45147</v>
      </c>
      <c r="O337" s="1">
        <v>45171</v>
      </c>
      <c r="P337" s="1">
        <v>45229</v>
      </c>
      <c r="Q337" s="1">
        <v>45119</v>
      </c>
      <c r="R337" s="1">
        <v>45187</v>
      </c>
    </row>
    <row r="338" spans="2:18" hidden="1" x14ac:dyDescent="0.25">
      <c r="B338" t="s">
        <v>122</v>
      </c>
      <c r="C338" t="s">
        <v>123</v>
      </c>
      <c r="D338" t="s">
        <v>38</v>
      </c>
      <c r="E338" t="s">
        <v>58</v>
      </c>
      <c r="F338" t="s">
        <v>76</v>
      </c>
      <c r="G338" t="s">
        <v>41</v>
      </c>
      <c r="H338" t="s">
        <v>25</v>
      </c>
      <c r="J338">
        <v>2</v>
      </c>
      <c r="K338" s="1">
        <v>45064</v>
      </c>
      <c r="L338" s="1">
        <v>45082</v>
      </c>
      <c r="M338" s="1">
        <v>45134</v>
      </c>
      <c r="N338" s="1">
        <v>45147</v>
      </c>
      <c r="O338" s="1">
        <v>45168</v>
      </c>
      <c r="P338" s="1">
        <v>45229</v>
      </c>
      <c r="Q338" s="1">
        <v>45119</v>
      </c>
      <c r="R338" s="1">
        <v>45187</v>
      </c>
    </row>
    <row r="339" spans="2:18" hidden="1" x14ac:dyDescent="0.25">
      <c r="B339" t="s">
        <v>122</v>
      </c>
      <c r="C339" t="s">
        <v>123</v>
      </c>
      <c r="D339" t="s">
        <v>38</v>
      </c>
      <c r="E339" t="s">
        <v>58</v>
      </c>
      <c r="F339" t="s">
        <v>76</v>
      </c>
      <c r="G339" t="s">
        <v>125</v>
      </c>
      <c r="H339" t="s">
        <v>25</v>
      </c>
      <c r="J339">
        <v>2</v>
      </c>
      <c r="K339" s="1">
        <v>45064</v>
      </c>
      <c r="L339" s="1">
        <v>45082</v>
      </c>
      <c r="M339" s="1">
        <v>45134</v>
      </c>
      <c r="N339" s="1">
        <v>45147</v>
      </c>
      <c r="O339" s="1">
        <v>45165</v>
      </c>
      <c r="P339" s="1">
        <v>45229</v>
      </c>
      <c r="Q339" s="1">
        <v>45119</v>
      </c>
      <c r="R339" s="1">
        <v>45187</v>
      </c>
    </row>
    <row r="340" spans="2:18" hidden="1" x14ac:dyDescent="0.25">
      <c r="B340" t="s">
        <v>122</v>
      </c>
      <c r="C340" t="s">
        <v>123</v>
      </c>
      <c r="D340" t="s">
        <v>38</v>
      </c>
      <c r="E340" t="s">
        <v>58</v>
      </c>
      <c r="F340" t="s">
        <v>76</v>
      </c>
      <c r="G340" t="s">
        <v>42</v>
      </c>
      <c r="H340" t="s">
        <v>25</v>
      </c>
      <c r="J340">
        <v>2</v>
      </c>
      <c r="K340" s="1">
        <v>45064</v>
      </c>
      <c r="L340" s="1">
        <v>45082</v>
      </c>
      <c r="M340" s="1">
        <v>45134</v>
      </c>
      <c r="N340" s="1">
        <v>45150</v>
      </c>
      <c r="O340" s="1">
        <v>45178</v>
      </c>
      <c r="P340" s="1">
        <v>45229</v>
      </c>
      <c r="Q340" s="1">
        <v>45122</v>
      </c>
      <c r="R340" s="1">
        <v>45189</v>
      </c>
    </row>
    <row r="341" spans="2:18" hidden="1" x14ac:dyDescent="0.25">
      <c r="B341" t="s">
        <v>122</v>
      </c>
      <c r="C341" t="s">
        <v>123</v>
      </c>
      <c r="D341" t="s">
        <v>38</v>
      </c>
      <c r="E341" t="s">
        <v>58</v>
      </c>
      <c r="F341" t="s">
        <v>76</v>
      </c>
      <c r="G341" t="s">
        <v>43</v>
      </c>
      <c r="H341" t="s">
        <v>25</v>
      </c>
      <c r="J341">
        <v>2</v>
      </c>
      <c r="K341" s="1">
        <v>45064</v>
      </c>
      <c r="L341" s="1">
        <v>45082</v>
      </c>
      <c r="M341" s="1">
        <v>45137</v>
      </c>
      <c r="N341" s="1">
        <v>45162</v>
      </c>
      <c r="O341" s="1">
        <v>45178</v>
      </c>
      <c r="P341" s="1">
        <v>45229</v>
      </c>
      <c r="Q341" s="1">
        <v>45136</v>
      </c>
      <c r="R341" s="1">
        <v>45196</v>
      </c>
    </row>
    <row r="342" spans="2:18" hidden="1" x14ac:dyDescent="0.25">
      <c r="B342" t="s">
        <v>126</v>
      </c>
      <c r="C342" t="s">
        <v>127</v>
      </c>
      <c r="D342" t="s">
        <v>102</v>
      </c>
      <c r="E342" t="s">
        <v>58</v>
      </c>
      <c r="F342" t="s">
        <v>76</v>
      </c>
      <c r="G342" t="s">
        <v>128</v>
      </c>
      <c r="H342" t="s">
        <v>25</v>
      </c>
      <c r="J342">
        <v>1</v>
      </c>
      <c r="K342" s="1">
        <v>45040</v>
      </c>
      <c r="L342" s="1">
        <v>45061</v>
      </c>
      <c r="M342" s="1">
        <v>45116</v>
      </c>
      <c r="N342" s="1">
        <v>45139</v>
      </c>
      <c r="O342" s="1">
        <v>45178</v>
      </c>
      <c r="P342" s="1">
        <v>45218</v>
      </c>
      <c r="Q342" s="1">
        <v>45110</v>
      </c>
      <c r="R342" s="1">
        <v>45181</v>
      </c>
    </row>
    <row r="343" spans="2:18" hidden="1" x14ac:dyDescent="0.25">
      <c r="B343" t="s">
        <v>126</v>
      </c>
      <c r="C343" t="s">
        <v>127</v>
      </c>
      <c r="D343" t="s">
        <v>102</v>
      </c>
      <c r="E343" t="s">
        <v>58</v>
      </c>
      <c r="F343" t="s">
        <v>76</v>
      </c>
      <c r="G343" t="s">
        <v>103</v>
      </c>
      <c r="H343" t="s">
        <v>25</v>
      </c>
      <c r="J343">
        <v>1</v>
      </c>
      <c r="K343" s="1">
        <v>45040</v>
      </c>
      <c r="L343" s="1">
        <v>45061</v>
      </c>
      <c r="M343" s="1">
        <v>45123</v>
      </c>
      <c r="N343" s="1">
        <v>45147</v>
      </c>
      <c r="O343" s="1">
        <v>45168</v>
      </c>
      <c r="P343" s="1">
        <v>45218</v>
      </c>
      <c r="Q343" s="1">
        <v>45119</v>
      </c>
      <c r="R343" s="1">
        <v>45187</v>
      </c>
    </row>
    <row r="344" spans="2:18" hidden="1" x14ac:dyDescent="0.25">
      <c r="B344" t="s">
        <v>126</v>
      </c>
      <c r="C344" t="s">
        <v>127</v>
      </c>
      <c r="D344" t="s">
        <v>102</v>
      </c>
      <c r="E344" t="s">
        <v>58</v>
      </c>
      <c r="F344" t="s">
        <v>76</v>
      </c>
      <c r="G344" t="s">
        <v>104</v>
      </c>
      <c r="H344" t="s">
        <v>25</v>
      </c>
      <c r="J344">
        <v>1</v>
      </c>
      <c r="K344" s="1">
        <v>45040</v>
      </c>
      <c r="L344" s="1">
        <v>45061</v>
      </c>
      <c r="M344" s="1">
        <v>45122</v>
      </c>
      <c r="N344" s="1">
        <v>45149</v>
      </c>
      <c r="O344" s="1">
        <v>45168</v>
      </c>
      <c r="P344" s="1">
        <v>45218</v>
      </c>
      <c r="Q344" s="1">
        <v>45121</v>
      </c>
      <c r="R344" s="1">
        <v>45188</v>
      </c>
    </row>
    <row r="345" spans="2:18" hidden="1" x14ac:dyDescent="0.25">
      <c r="B345" t="s">
        <v>126</v>
      </c>
      <c r="C345" t="s">
        <v>127</v>
      </c>
      <c r="D345" t="s">
        <v>102</v>
      </c>
      <c r="E345" t="s">
        <v>58</v>
      </c>
      <c r="F345" t="s">
        <v>76</v>
      </c>
      <c r="G345" t="s">
        <v>129</v>
      </c>
      <c r="H345" t="s">
        <v>25</v>
      </c>
      <c r="J345">
        <v>1</v>
      </c>
      <c r="K345" s="1">
        <v>45040</v>
      </c>
      <c r="L345" s="1">
        <v>45061</v>
      </c>
      <c r="M345" s="1">
        <v>45119</v>
      </c>
      <c r="N345" s="1">
        <v>45143</v>
      </c>
      <c r="O345" s="1">
        <v>45168</v>
      </c>
      <c r="P345" s="1">
        <v>45218</v>
      </c>
      <c r="Q345" s="1">
        <v>45115</v>
      </c>
      <c r="R345" s="1">
        <v>45184</v>
      </c>
    </row>
    <row r="346" spans="2:18" hidden="1" x14ac:dyDescent="0.25">
      <c r="B346" t="s">
        <v>126</v>
      </c>
      <c r="C346" t="s">
        <v>127</v>
      </c>
      <c r="D346" t="s">
        <v>102</v>
      </c>
      <c r="E346" t="s">
        <v>58</v>
      </c>
      <c r="F346" t="s">
        <v>76</v>
      </c>
      <c r="G346" t="s">
        <v>105</v>
      </c>
      <c r="H346" t="s">
        <v>25</v>
      </c>
      <c r="J346">
        <v>1</v>
      </c>
      <c r="K346" s="1">
        <v>45040</v>
      </c>
      <c r="L346" s="1">
        <v>45061</v>
      </c>
      <c r="M346" s="1">
        <v>45116</v>
      </c>
      <c r="N346" s="1">
        <v>45140</v>
      </c>
      <c r="O346" s="1">
        <v>45168</v>
      </c>
      <c r="P346" s="1">
        <v>45218</v>
      </c>
      <c r="Q346" s="1">
        <v>45111</v>
      </c>
      <c r="R346" s="1">
        <v>45182</v>
      </c>
    </row>
    <row r="347" spans="2:18" hidden="1" x14ac:dyDescent="0.25">
      <c r="B347" t="s">
        <v>126</v>
      </c>
      <c r="C347" t="s">
        <v>127</v>
      </c>
      <c r="D347" t="s">
        <v>102</v>
      </c>
      <c r="E347" t="s">
        <v>58</v>
      </c>
      <c r="F347" t="s">
        <v>76</v>
      </c>
      <c r="G347" t="s">
        <v>106</v>
      </c>
      <c r="H347" t="s">
        <v>25</v>
      </c>
      <c r="J347">
        <v>1</v>
      </c>
      <c r="K347" s="1">
        <v>45040</v>
      </c>
      <c r="L347" s="1">
        <v>45061</v>
      </c>
      <c r="M347" s="1">
        <v>45125</v>
      </c>
      <c r="N347" s="1">
        <v>45149</v>
      </c>
      <c r="O347" s="1">
        <v>45171</v>
      </c>
      <c r="P347" s="1">
        <v>45218</v>
      </c>
      <c r="Q347" s="1">
        <v>45121</v>
      </c>
      <c r="R347" s="1">
        <v>45188</v>
      </c>
    </row>
    <row r="348" spans="2:18" hidden="1" x14ac:dyDescent="0.25">
      <c r="B348" t="s">
        <v>126</v>
      </c>
      <c r="C348" t="s">
        <v>127</v>
      </c>
      <c r="D348" t="s">
        <v>102</v>
      </c>
      <c r="E348" t="s">
        <v>58</v>
      </c>
      <c r="F348" t="s">
        <v>76</v>
      </c>
      <c r="G348" t="s">
        <v>128</v>
      </c>
      <c r="H348" t="s">
        <v>25</v>
      </c>
      <c r="J348">
        <v>2</v>
      </c>
      <c r="K348" s="1">
        <v>45064</v>
      </c>
      <c r="L348" s="1">
        <v>45061</v>
      </c>
      <c r="M348" s="1">
        <v>45129</v>
      </c>
      <c r="N348" s="1">
        <v>45142</v>
      </c>
      <c r="O348" s="1">
        <v>45172</v>
      </c>
      <c r="P348" s="1">
        <v>45229</v>
      </c>
      <c r="Q348" s="1">
        <v>45114</v>
      </c>
      <c r="R348" s="1">
        <v>45183</v>
      </c>
    </row>
    <row r="349" spans="2:18" hidden="1" x14ac:dyDescent="0.25">
      <c r="B349" t="s">
        <v>126</v>
      </c>
      <c r="C349" t="s">
        <v>127</v>
      </c>
      <c r="D349" t="s">
        <v>102</v>
      </c>
      <c r="E349" t="s">
        <v>58</v>
      </c>
      <c r="F349" t="s">
        <v>76</v>
      </c>
      <c r="G349" t="s">
        <v>103</v>
      </c>
      <c r="H349" t="s">
        <v>25</v>
      </c>
      <c r="J349">
        <v>2</v>
      </c>
      <c r="K349" s="1">
        <v>45064</v>
      </c>
      <c r="L349" s="1">
        <v>45061</v>
      </c>
      <c r="M349" s="1">
        <v>45123</v>
      </c>
      <c r="N349" s="1">
        <v>45141</v>
      </c>
      <c r="O349" s="1">
        <v>45171</v>
      </c>
      <c r="P349" s="1">
        <v>45229</v>
      </c>
      <c r="Q349" s="1">
        <v>45113</v>
      </c>
      <c r="R349" s="1">
        <v>45183</v>
      </c>
    </row>
    <row r="350" spans="2:18" hidden="1" x14ac:dyDescent="0.25">
      <c r="B350" t="s">
        <v>126</v>
      </c>
      <c r="C350" t="s">
        <v>127</v>
      </c>
      <c r="D350" t="s">
        <v>102</v>
      </c>
      <c r="E350" t="s">
        <v>58</v>
      </c>
      <c r="F350" t="s">
        <v>76</v>
      </c>
      <c r="G350" t="s">
        <v>104</v>
      </c>
      <c r="H350" t="s">
        <v>25</v>
      </c>
      <c r="J350">
        <v>2</v>
      </c>
      <c r="K350" s="1">
        <v>45064</v>
      </c>
      <c r="L350" s="1">
        <v>45061</v>
      </c>
      <c r="M350" s="1">
        <v>45122</v>
      </c>
      <c r="N350" s="1">
        <v>45147</v>
      </c>
      <c r="O350" s="1">
        <v>45178</v>
      </c>
      <c r="P350" s="1">
        <v>45229</v>
      </c>
      <c r="Q350" s="1">
        <v>45119</v>
      </c>
      <c r="R350" s="1">
        <v>45187</v>
      </c>
    </row>
    <row r="351" spans="2:18" hidden="1" x14ac:dyDescent="0.25">
      <c r="B351" t="s">
        <v>126</v>
      </c>
      <c r="C351" t="s">
        <v>127</v>
      </c>
      <c r="D351" t="s">
        <v>102</v>
      </c>
      <c r="E351" t="s">
        <v>58</v>
      </c>
      <c r="F351" t="s">
        <v>76</v>
      </c>
      <c r="G351" t="s">
        <v>129</v>
      </c>
      <c r="H351" t="s">
        <v>25</v>
      </c>
      <c r="J351">
        <v>2</v>
      </c>
      <c r="K351" s="1">
        <v>45064</v>
      </c>
      <c r="L351" s="1">
        <v>45061</v>
      </c>
      <c r="M351" s="1">
        <v>45122</v>
      </c>
      <c r="N351" s="1">
        <v>45125</v>
      </c>
      <c r="O351" s="1">
        <v>45168</v>
      </c>
      <c r="P351" s="1">
        <v>45229</v>
      </c>
      <c r="Q351" s="1">
        <v>45093</v>
      </c>
      <c r="R351" s="1">
        <v>45170</v>
      </c>
    </row>
    <row r="352" spans="2:18" hidden="1" x14ac:dyDescent="0.25">
      <c r="B352" t="s">
        <v>126</v>
      </c>
      <c r="C352" t="s">
        <v>127</v>
      </c>
      <c r="D352" t="s">
        <v>102</v>
      </c>
      <c r="E352" t="s">
        <v>58</v>
      </c>
      <c r="F352" t="s">
        <v>76</v>
      </c>
      <c r="G352" t="s">
        <v>105</v>
      </c>
      <c r="H352" t="s">
        <v>25</v>
      </c>
      <c r="J352">
        <v>2</v>
      </c>
      <c r="K352" s="1">
        <v>45064</v>
      </c>
      <c r="L352" s="1">
        <v>45061</v>
      </c>
      <c r="M352" s="1">
        <v>45116</v>
      </c>
      <c r="N352" s="1">
        <v>45136</v>
      </c>
      <c r="O352" s="1">
        <v>45168</v>
      </c>
      <c r="P352" s="1">
        <v>45229</v>
      </c>
      <c r="Q352" s="1">
        <v>45106</v>
      </c>
      <c r="R352" s="1">
        <v>45177</v>
      </c>
    </row>
    <row r="353" spans="2:19" hidden="1" x14ac:dyDescent="0.25">
      <c r="B353" t="s">
        <v>126</v>
      </c>
      <c r="C353" t="s">
        <v>127</v>
      </c>
      <c r="D353" t="s">
        <v>102</v>
      </c>
      <c r="E353" t="s">
        <v>58</v>
      </c>
      <c r="F353" t="s">
        <v>76</v>
      </c>
      <c r="G353" t="s">
        <v>106</v>
      </c>
      <c r="H353" t="s">
        <v>25</v>
      </c>
      <c r="J353">
        <v>2</v>
      </c>
      <c r="K353" s="1">
        <v>45064</v>
      </c>
      <c r="L353" s="1">
        <v>45061</v>
      </c>
      <c r="M353" s="1">
        <v>45123</v>
      </c>
      <c r="N353" s="1">
        <v>45141</v>
      </c>
      <c r="O353" s="1">
        <v>45171</v>
      </c>
      <c r="P353" s="1">
        <v>45229</v>
      </c>
      <c r="Q353" s="1">
        <v>45113</v>
      </c>
      <c r="R353" s="1">
        <v>45183</v>
      </c>
    </row>
    <row r="354" spans="2:19" hidden="1" x14ac:dyDescent="0.25">
      <c r="B354" t="s">
        <v>130</v>
      </c>
      <c r="C354" t="s">
        <v>131</v>
      </c>
      <c r="D354" t="s">
        <v>20</v>
      </c>
      <c r="E354" t="s">
        <v>58</v>
      </c>
      <c r="F354" t="s">
        <v>65</v>
      </c>
      <c r="G354" t="s">
        <v>23</v>
      </c>
      <c r="H354" t="s">
        <v>25</v>
      </c>
      <c r="J354">
        <v>1</v>
      </c>
      <c r="K354" s="1">
        <v>45069</v>
      </c>
      <c r="L354" s="1">
        <v>45078</v>
      </c>
      <c r="M354" s="1" t="e">
        <v>#NUM!</v>
      </c>
      <c r="N354" s="1" t="e">
        <v>#NUM!</v>
      </c>
      <c r="O354" s="1" t="e">
        <v>#NUM!</v>
      </c>
      <c r="P354" s="1" t="e">
        <v>#NUM!</v>
      </c>
      <c r="Q354" s="1" t="e">
        <v>#NUM!</v>
      </c>
      <c r="R354" s="1" t="e">
        <v>#NUM!</v>
      </c>
      <c r="S354" t="s">
        <v>32</v>
      </c>
    </row>
    <row r="355" spans="2:19" hidden="1" x14ac:dyDescent="0.25">
      <c r="B355" t="s">
        <v>130</v>
      </c>
      <c r="C355" t="s">
        <v>131</v>
      </c>
      <c r="D355" t="s">
        <v>20</v>
      </c>
      <c r="E355" t="s">
        <v>58</v>
      </c>
      <c r="F355" t="s">
        <v>65</v>
      </c>
      <c r="G355" t="s">
        <v>23</v>
      </c>
      <c r="H355" t="s">
        <v>25</v>
      </c>
      <c r="J355">
        <v>2</v>
      </c>
      <c r="K355" s="1">
        <v>45089</v>
      </c>
      <c r="L355" s="1">
        <v>45097</v>
      </c>
      <c r="M355" s="1" t="e">
        <v>#NUM!</v>
      </c>
      <c r="N355" s="1" t="e">
        <v>#NUM!</v>
      </c>
      <c r="O355" s="1" t="e">
        <v>#NUM!</v>
      </c>
      <c r="P355" s="1" t="e">
        <v>#NUM!</v>
      </c>
      <c r="Q355" s="1" t="e">
        <v>#NUM!</v>
      </c>
      <c r="R355" s="1" t="e">
        <v>#NUM!</v>
      </c>
      <c r="S355" t="s">
        <v>32</v>
      </c>
    </row>
    <row r="356" spans="2:19" hidden="1" x14ac:dyDescent="0.25">
      <c r="B356" t="s">
        <v>130</v>
      </c>
      <c r="C356" t="s">
        <v>131</v>
      </c>
      <c r="D356" t="s">
        <v>20</v>
      </c>
      <c r="E356" t="s">
        <v>58</v>
      </c>
      <c r="F356" t="s">
        <v>65</v>
      </c>
      <c r="G356" t="s">
        <v>26</v>
      </c>
      <c r="H356" t="s">
        <v>25</v>
      </c>
      <c r="J356">
        <v>1</v>
      </c>
      <c r="K356" s="1">
        <v>45069</v>
      </c>
      <c r="L356" s="1">
        <v>45078</v>
      </c>
      <c r="M356" s="1" t="e">
        <v>#NUM!</v>
      </c>
      <c r="N356" s="1" t="e">
        <v>#NUM!</v>
      </c>
      <c r="O356" s="1" t="e">
        <v>#NUM!</v>
      </c>
      <c r="P356" s="1" t="e">
        <v>#NUM!</v>
      </c>
      <c r="Q356" s="1" t="e">
        <v>#NUM!</v>
      </c>
      <c r="R356" s="1" t="e">
        <v>#NUM!</v>
      </c>
      <c r="S356" t="s">
        <v>32</v>
      </c>
    </row>
    <row r="357" spans="2:19" hidden="1" x14ac:dyDescent="0.25">
      <c r="B357" t="s">
        <v>130</v>
      </c>
      <c r="C357" t="s">
        <v>131</v>
      </c>
      <c r="D357" t="s">
        <v>20</v>
      </c>
      <c r="E357" t="s">
        <v>58</v>
      </c>
      <c r="F357" t="s">
        <v>65</v>
      </c>
      <c r="G357" t="s">
        <v>26</v>
      </c>
      <c r="H357" t="s">
        <v>25</v>
      </c>
      <c r="J357">
        <v>2</v>
      </c>
      <c r="K357" s="1">
        <v>45089</v>
      </c>
      <c r="L357" s="1">
        <v>45097</v>
      </c>
      <c r="M357" s="1" t="e">
        <v>#NUM!</v>
      </c>
      <c r="N357" s="1" t="e">
        <v>#NUM!</v>
      </c>
      <c r="O357" s="1" t="e">
        <v>#NUM!</v>
      </c>
      <c r="P357" s="1" t="e">
        <v>#NUM!</v>
      </c>
      <c r="Q357" s="1" t="e">
        <v>#NUM!</v>
      </c>
      <c r="R357" s="1" t="e">
        <v>#NUM!</v>
      </c>
      <c r="S357" t="s">
        <v>32</v>
      </c>
    </row>
    <row r="358" spans="2:19" hidden="1" x14ac:dyDescent="0.25">
      <c r="B358" t="s">
        <v>130</v>
      </c>
      <c r="C358" t="s">
        <v>131</v>
      </c>
      <c r="D358" t="s">
        <v>20</v>
      </c>
      <c r="E358" t="s">
        <v>58</v>
      </c>
      <c r="F358" t="s">
        <v>65</v>
      </c>
      <c r="G358" t="s">
        <v>27</v>
      </c>
      <c r="H358" t="s">
        <v>25</v>
      </c>
      <c r="J358">
        <v>1</v>
      </c>
      <c r="K358" s="1">
        <v>45069</v>
      </c>
      <c r="L358" s="1">
        <v>45078</v>
      </c>
      <c r="M358" s="1" t="e">
        <v>#NUM!</v>
      </c>
      <c r="N358" s="1" t="e">
        <v>#NUM!</v>
      </c>
      <c r="O358" s="1" t="e">
        <v>#NUM!</v>
      </c>
      <c r="P358" s="1" t="e">
        <v>#NUM!</v>
      </c>
      <c r="Q358" s="1" t="e">
        <v>#NUM!</v>
      </c>
      <c r="R358" s="1" t="e">
        <v>#NUM!</v>
      </c>
      <c r="S358" t="s">
        <v>32</v>
      </c>
    </row>
    <row r="359" spans="2:19" hidden="1" x14ac:dyDescent="0.25">
      <c r="B359" t="s">
        <v>130</v>
      </c>
      <c r="C359" t="s">
        <v>131</v>
      </c>
      <c r="D359" t="s">
        <v>20</v>
      </c>
      <c r="E359" t="s">
        <v>58</v>
      </c>
      <c r="F359" t="s">
        <v>65</v>
      </c>
      <c r="G359" t="s">
        <v>27</v>
      </c>
      <c r="H359" t="s">
        <v>25</v>
      </c>
      <c r="J359">
        <v>2</v>
      </c>
      <c r="K359" s="1">
        <v>45089</v>
      </c>
      <c r="L359" s="1">
        <v>45097</v>
      </c>
      <c r="M359" s="1" t="e">
        <v>#NUM!</v>
      </c>
      <c r="N359" s="1" t="e">
        <v>#NUM!</v>
      </c>
      <c r="O359" s="1" t="e">
        <v>#NUM!</v>
      </c>
      <c r="P359" s="1" t="e">
        <v>#NUM!</v>
      </c>
      <c r="Q359" s="1" t="e">
        <v>#NUM!</v>
      </c>
      <c r="R359" s="1" t="e">
        <v>#NUM!</v>
      </c>
      <c r="S359" t="s">
        <v>32</v>
      </c>
    </row>
    <row r="360" spans="2:19" hidden="1" x14ac:dyDescent="0.25">
      <c r="B360" t="s">
        <v>130</v>
      </c>
      <c r="C360" t="s">
        <v>131</v>
      </c>
      <c r="D360" t="s">
        <v>20</v>
      </c>
      <c r="E360" t="s">
        <v>58</v>
      </c>
      <c r="F360" t="s">
        <v>65</v>
      </c>
      <c r="G360" t="s">
        <v>28</v>
      </c>
      <c r="H360" t="s">
        <v>25</v>
      </c>
      <c r="J360">
        <v>1</v>
      </c>
      <c r="K360" s="1">
        <v>45069</v>
      </c>
      <c r="L360" s="1">
        <v>45078</v>
      </c>
      <c r="M360" s="1" t="e">
        <v>#NUM!</v>
      </c>
      <c r="N360" s="1" t="e">
        <v>#NUM!</v>
      </c>
      <c r="O360" s="1" t="e">
        <v>#NUM!</v>
      </c>
      <c r="P360" s="1" t="e">
        <v>#NUM!</v>
      </c>
      <c r="Q360" s="1" t="e">
        <v>#NUM!</v>
      </c>
      <c r="R360" s="1" t="e">
        <v>#NUM!</v>
      </c>
      <c r="S360" t="s">
        <v>32</v>
      </c>
    </row>
    <row r="361" spans="2:19" hidden="1" x14ac:dyDescent="0.25">
      <c r="B361" t="s">
        <v>130</v>
      </c>
      <c r="C361" t="s">
        <v>131</v>
      </c>
      <c r="D361" t="s">
        <v>20</v>
      </c>
      <c r="E361" t="s">
        <v>58</v>
      </c>
      <c r="F361" t="s">
        <v>65</v>
      </c>
      <c r="G361" t="s">
        <v>28</v>
      </c>
      <c r="H361" t="s">
        <v>25</v>
      </c>
      <c r="J361">
        <v>2</v>
      </c>
      <c r="K361" s="1">
        <v>45089</v>
      </c>
      <c r="L361" s="1">
        <v>45097</v>
      </c>
      <c r="M361" s="1" t="e">
        <v>#NUM!</v>
      </c>
      <c r="N361" s="1" t="e">
        <v>#NUM!</v>
      </c>
      <c r="O361" s="1" t="e">
        <v>#NUM!</v>
      </c>
      <c r="P361" s="1" t="e">
        <v>#NUM!</v>
      </c>
      <c r="Q361" s="1" t="e">
        <v>#NUM!</v>
      </c>
      <c r="R361" s="1" t="e">
        <v>#NUM!</v>
      </c>
      <c r="S361" t="s">
        <v>32</v>
      </c>
    </row>
    <row r="362" spans="2:19" hidden="1" x14ac:dyDescent="0.25">
      <c r="B362" t="s">
        <v>132</v>
      </c>
      <c r="C362" t="s">
        <v>133</v>
      </c>
      <c r="D362" t="s">
        <v>20</v>
      </c>
      <c r="E362" t="s">
        <v>58</v>
      </c>
      <c r="F362" t="s">
        <v>81</v>
      </c>
      <c r="G362" t="s">
        <v>23</v>
      </c>
      <c r="H362" t="s">
        <v>25</v>
      </c>
      <c r="J362">
        <v>1</v>
      </c>
      <c r="K362" s="1">
        <v>45120</v>
      </c>
      <c r="L362" s="1">
        <v>45132</v>
      </c>
      <c r="M362" s="1" t="e">
        <v>#NUM!</v>
      </c>
      <c r="N362" s="1" t="e">
        <v>#NUM!</v>
      </c>
      <c r="O362" s="1" t="e">
        <v>#NUM!</v>
      </c>
      <c r="P362" s="1" t="e">
        <v>#NUM!</v>
      </c>
      <c r="Q362" s="1" t="e">
        <v>#NUM!</v>
      </c>
      <c r="R362" s="1" t="e">
        <v>#NUM!</v>
      </c>
      <c r="S362" t="s">
        <v>32</v>
      </c>
    </row>
    <row r="363" spans="2:19" hidden="1" x14ac:dyDescent="0.25">
      <c r="B363" t="s">
        <v>132</v>
      </c>
      <c r="C363" t="s">
        <v>133</v>
      </c>
      <c r="D363" t="s">
        <v>20</v>
      </c>
      <c r="E363" t="s">
        <v>58</v>
      </c>
      <c r="F363" t="s">
        <v>81</v>
      </c>
      <c r="G363" t="s">
        <v>23</v>
      </c>
      <c r="H363" t="s">
        <v>25</v>
      </c>
      <c r="J363">
        <v>2</v>
      </c>
      <c r="K363" s="1">
        <v>45134</v>
      </c>
      <c r="L363" s="1">
        <v>45145</v>
      </c>
      <c r="M363" s="1" t="e">
        <v>#NUM!</v>
      </c>
      <c r="N363" s="1" t="e">
        <v>#NUM!</v>
      </c>
      <c r="O363" s="1" t="e">
        <v>#NUM!</v>
      </c>
      <c r="P363" s="1" t="e">
        <v>#NUM!</v>
      </c>
      <c r="Q363" s="1" t="e">
        <v>#NUM!</v>
      </c>
      <c r="R363" s="1" t="e">
        <v>#NUM!</v>
      </c>
      <c r="S363" t="s">
        <v>32</v>
      </c>
    </row>
    <row r="364" spans="2:19" hidden="1" x14ac:dyDescent="0.25">
      <c r="B364" t="s">
        <v>132</v>
      </c>
      <c r="C364" t="s">
        <v>133</v>
      </c>
      <c r="D364" t="s">
        <v>20</v>
      </c>
      <c r="E364" t="s">
        <v>58</v>
      </c>
      <c r="F364" t="s">
        <v>81</v>
      </c>
      <c r="G364" t="s">
        <v>26</v>
      </c>
      <c r="H364" t="s">
        <v>25</v>
      </c>
      <c r="J364">
        <v>1</v>
      </c>
      <c r="K364" s="1">
        <v>45120</v>
      </c>
      <c r="L364" s="1">
        <v>45132</v>
      </c>
      <c r="M364" s="1" t="e">
        <v>#NUM!</v>
      </c>
      <c r="N364" s="1" t="e">
        <v>#NUM!</v>
      </c>
      <c r="O364" s="1" t="e">
        <v>#NUM!</v>
      </c>
      <c r="P364" s="1" t="e">
        <v>#NUM!</v>
      </c>
      <c r="Q364" s="1" t="e">
        <v>#NUM!</v>
      </c>
      <c r="R364" s="1" t="e">
        <v>#NUM!</v>
      </c>
      <c r="S364" t="s">
        <v>32</v>
      </c>
    </row>
    <row r="365" spans="2:19" hidden="1" x14ac:dyDescent="0.25">
      <c r="B365" t="s">
        <v>132</v>
      </c>
      <c r="C365" t="s">
        <v>133</v>
      </c>
      <c r="D365" t="s">
        <v>20</v>
      </c>
      <c r="E365" t="s">
        <v>58</v>
      </c>
      <c r="F365" t="s">
        <v>81</v>
      </c>
      <c r="G365" t="s">
        <v>26</v>
      </c>
      <c r="H365" t="s">
        <v>25</v>
      </c>
      <c r="J365">
        <v>2</v>
      </c>
      <c r="K365" s="1">
        <v>45134</v>
      </c>
      <c r="L365" s="1">
        <v>45145</v>
      </c>
      <c r="M365" s="1" t="e">
        <v>#NUM!</v>
      </c>
      <c r="N365" s="1" t="e">
        <v>#NUM!</v>
      </c>
      <c r="O365" s="1" t="e">
        <v>#NUM!</v>
      </c>
      <c r="P365" s="1" t="e">
        <v>#NUM!</v>
      </c>
      <c r="Q365" s="1" t="e">
        <v>#NUM!</v>
      </c>
      <c r="R365" s="1" t="e">
        <v>#NUM!</v>
      </c>
      <c r="S365" t="s">
        <v>32</v>
      </c>
    </row>
    <row r="366" spans="2:19" hidden="1" x14ac:dyDescent="0.25">
      <c r="B366" t="s">
        <v>132</v>
      </c>
      <c r="C366" t="s">
        <v>133</v>
      </c>
      <c r="D366" t="s">
        <v>20</v>
      </c>
      <c r="E366" t="s">
        <v>58</v>
      </c>
      <c r="F366" t="s">
        <v>81</v>
      </c>
      <c r="G366" t="s">
        <v>27</v>
      </c>
      <c r="H366" t="s">
        <v>25</v>
      </c>
      <c r="J366">
        <v>1</v>
      </c>
      <c r="K366" s="1">
        <v>45120</v>
      </c>
      <c r="L366" s="1">
        <v>45132</v>
      </c>
      <c r="M366" s="1" t="e">
        <v>#NUM!</v>
      </c>
      <c r="N366" s="1" t="e">
        <v>#NUM!</v>
      </c>
      <c r="O366" s="1" t="e">
        <v>#NUM!</v>
      </c>
      <c r="P366" s="1" t="e">
        <v>#NUM!</v>
      </c>
      <c r="Q366" s="1" t="e">
        <v>#NUM!</v>
      </c>
      <c r="R366" s="1" t="e">
        <v>#NUM!</v>
      </c>
      <c r="S366" t="s">
        <v>32</v>
      </c>
    </row>
    <row r="367" spans="2:19" hidden="1" x14ac:dyDescent="0.25">
      <c r="B367" t="s">
        <v>132</v>
      </c>
      <c r="C367" t="s">
        <v>133</v>
      </c>
      <c r="D367" t="s">
        <v>20</v>
      </c>
      <c r="E367" t="s">
        <v>58</v>
      </c>
      <c r="F367" t="s">
        <v>81</v>
      </c>
      <c r="G367" t="s">
        <v>27</v>
      </c>
      <c r="H367" t="s">
        <v>25</v>
      </c>
      <c r="J367">
        <v>2</v>
      </c>
      <c r="K367" s="1">
        <v>45134</v>
      </c>
      <c r="L367" s="1">
        <v>45145</v>
      </c>
      <c r="M367" s="1" t="e">
        <v>#NUM!</v>
      </c>
      <c r="N367" s="1" t="e">
        <v>#NUM!</v>
      </c>
      <c r="O367" s="1" t="e">
        <v>#NUM!</v>
      </c>
      <c r="P367" s="1" t="e">
        <v>#NUM!</v>
      </c>
      <c r="Q367" s="1" t="e">
        <v>#NUM!</v>
      </c>
      <c r="R367" s="1" t="e">
        <v>#NUM!</v>
      </c>
      <c r="S367" t="s">
        <v>32</v>
      </c>
    </row>
    <row r="368" spans="2:19" hidden="1" x14ac:dyDescent="0.25">
      <c r="B368" t="s">
        <v>132</v>
      </c>
      <c r="C368" t="s">
        <v>133</v>
      </c>
      <c r="D368" t="s">
        <v>20</v>
      </c>
      <c r="E368" t="s">
        <v>58</v>
      </c>
      <c r="F368" t="s">
        <v>81</v>
      </c>
      <c r="G368" t="s">
        <v>28</v>
      </c>
      <c r="H368" t="s">
        <v>25</v>
      </c>
      <c r="J368">
        <v>1</v>
      </c>
      <c r="K368" s="1">
        <v>45120</v>
      </c>
      <c r="L368" s="1">
        <v>45132</v>
      </c>
      <c r="M368" s="1" t="e">
        <v>#NUM!</v>
      </c>
      <c r="N368" s="1" t="e">
        <v>#NUM!</v>
      </c>
      <c r="O368" s="1" t="e">
        <v>#NUM!</v>
      </c>
      <c r="P368" s="1" t="e">
        <v>#NUM!</v>
      </c>
      <c r="Q368" s="1" t="e">
        <v>#NUM!</v>
      </c>
      <c r="R368" s="1" t="e">
        <v>#NUM!</v>
      </c>
      <c r="S368" t="s">
        <v>32</v>
      </c>
    </row>
    <row r="369" spans="1:24" hidden="1" x14ac:dyDescent="0.25">
      <c r="B369" t="s">
        <v>132</v>
      </c>
      <c r="C369" t="s">
        <v>133</v>
      </c>
      <c r="D369" t="s">
        <v>20</v>
      </c>
      <c r="E369" t="s">
        <v>58</v>
      </c>
      <c r="F369" t="s">
        <v>81</v>
      </c>
      <c r="G369" t="s">
        <v>28</v>
      </c>
      <c r="H369" t="s">
        <v>25</v>
      </c>
      <c r="J369">
        <v>2</v>
      </c>
      <c r="K369" s="1">
        <v>45134</v>
      </c>
      <c r="L369" s="1">
        <v>45145</v>
      </c>
      <c r="M369" s="1" t="e">
        <v>#NUM!</v>
      </c>
      <c r="N369" s="1" t="e">
        <v>#NUM!</v>
      </c>
      <c r="O369" s="1" t="e">
        <v>#NUM!</v>
      </c>
      <c r="P369" s="1" t="e">
        <v>#NUM!</v>
      </c>
      <c r="Q369" s="1" t="e">
        <v>#NUM!</v>
      </c>
      <c r="R369" s="1" t="e">
        <v>#NUM!</v>
      </c>
      <c r="S369" t="s">
        <v>32</v>
      </c>
    </row>
    <row r="370" spans="1:24" hidden="1" x14ac:dyDescent="0.25">
      <c r="B370" t="s">
        <v>134</v>
      </c>
      <c r="C370" t="s">
        <v>135</v>
      </c>
      <c r="D370" t="s">
        <v>38</v>
      </c>
      <c r="E370" t="s">
        <v>58</v>
      </c>
      <c r="F370" t="s">
        <v>84</v>
      </c>
      <c r="G370" t="s">
        <v>40</v>
      </c>
      <c r="H370" t="s">
        <v>25</v>
      </c>
      <c r="I370" t="s">
        <v>86</v>
      </c>
      <c r="J370">
        <v>1</v>
      </c>
      <c r="K370" s="1">
        <v>45029</v>
      </c>
      <c r="L370" s="1">
        <v>45042</v>
      </c>
      <c r="M370" s="1">
        <v>45085</v>
      </c>
      <c r="N370" s="1"/>
      <c r="O370" s="1">
        <v>45170</v>
      </c>
      <c r="P370" s="1">
        <v>45205</v>
      </c>
      <c r="Q370" s="1" t="e">
        <v>#NUM!</v>
      </c>
      <c r="R370" s="1" t="e">
        <v>#NUM!</v>
      </c>
    </row>
    <row r="371" spans="1:24" hidden="1" x14ac:dyDescent="0.25">
      <c r="B371" t="s">
        <v>134</v>
      </c>
      <c r="C371" t="s">
        <v>135</v>
      </c>
      <c r="D371" t="s">
        <v>38</v>
      </c>
      <c r="E371" t="s">
        <v>58</v>
      </c>
      <c r="F371" t="s">
        <v>84</v>
      </c>
      <c r="G371" t="s">
        <v>40</v>
      </c>
      <c r="H371" t="s">
        <v>25</v>
      </c>
      <c r="I371" t="s">
        <v>85</v>
      </c>
      <c r="J371">
        <v>1</v>
      </c>
      <c r="K371" s="1">
        <v>45029</v>
      </c>
      <c r="L371" s="1">
        <v>45042</v>
      </c>
      <c r="M371" s="1">
        <v>45085</v>
      </c>
      <c r="N371" s="1"/>
      <c r="O371" s="1">
        <v>45170</v>
      </c>
      <c r="P371" s="1">
        <v>45205</v>
      </c>
      <c r="Q371" s="1" t="e">
        <v>#NUM!</v>
      </c>
      <c r="R371" s="1" t="e">
        <v>#NUM!</v>
      </c>
    </row>
    <row r="372" spans="1:24" hidden="1" x14ac:dyDescent="0.25">
      <c r="B372" t="s">
        <v>134</v>
      </c>
      <c r="C372" t="s">
        <v>135</v>
      </c>
      <c r="D372" t="s">
        <v>38</v>
      </c>
      <c r="E372" t="s">
        <v>58</v>
      </c>
      <c r="F372" t="s">
        <v>84</v>
      </c>
      <c r="G372" t="s">
        <v>41</v>
      </c>
      <c r="H372" t="s">
        <v>25</v>
      </c>
      <c r="I372" t="s">
        <v>85</v>
      </c>
      <c r="J372">
        <v>1</v>
      </c>
      <c r="K372" s="1">
        <v>45029</v>
      </c>
      <c r="L372" s="1">
        <v>45042</v>
      </c>
      <c r="M372" s="1">
        <v>45085</v>
      </c>
      <c r="N372" s="1">
        <v>45100</v>
      </c>
      <c r="O372" s="1"/>
      <c r="P372" s="1">
        <v>45194</v>
      </c>
      <c r="Q372" s="1">
        <v>45079</v>
      </c>
      <c r="R372" s="1">
        <v>45143</v>
      </c>
    </row>
    <row r="373" spans="1:24" hidden="1" x14ac:dyDescent="0.25">
      <c r="B373" t="s">
        <v>134</v>
      </c>
      <c r="C373" t="s">
        <v>135</v>
      </c>
      <c r="D373" t="s">
        <v>38</v>
      </c>
      <c r="E373" t="s">
        <v>58</v>
      </c>
      <c r="F373" t="s">
        <v>84</v>
      </c>
      <c r="G373" t="s">
        <v>41</v>
      </c>
      <c r="H373" t="s">
        <v>25</v>
      </c>
      <c r="I373" t="s">
        <v>86</v>
      </c>
      <c r="J373">
        <v>1</v>
      </c>
      <c r="K373" s="1">
        <v>45029</v>
      </c>
      <c r="L373" s="1">
        <v>45042</v>
      </c>
      <c r="M373" s="1">
        <v>45085</v>
      </c>
      <c r="N373" s="1">
        <v>45100</v>
      </c>
      <c r="O373" s="1"/>
      <c r="P373" s="1">
        <v>45194</v>
      </c>
      <c r="Q373" s="1">
        <v>45079</v>
      </c>
      <c r="R373" s="1">
        <v>45143</v>
      </c>
    </row>
    <row r="374" spans="1:24" hidden="1" x14ac:dyDescent="0.25">
      <c r="B374" t="s">
        <v>134</v>
      </c>
      <c r="C374" t="s">
        <v>135</v>
      </c>
      <c r="D374" t="s">
        <v>38</v>
      </c>
      <c r="E374" t="s">
        <v>58</v>
      </c>
      <c r="F374" t="s">
        <v>84</v>
      </c>
      <c r="G374" t="s">
        <v>42</v>
      </c>
      <c r="H374" t="s">
        <v>25</v>
      </c>
      <c r="I374" t="s">
        <v>85</v>
      </c>
      <c r="J374">
        <v>1</v>
      </c>
      <c r="K374" s="1">
        <v>45029</v>
      </c>
      <c r="L374" s="1">
        <v>45042</v>
      </c>
      <c r="M374" s="1">
        <v>45085</v>
      </c>
      <c r="N374" s="1">
        <v>45096</v>
      </c>
      <c r="O374" s="1"/>
      <c r="P374" s="1">
        <v>45194</v>
      </c>
      <c r="Q374" s="1">
        <v>45076</v>
      </c>
      <c r="R374" s="1">
        <v>45140</v>
      </c>
    </row>
    <row r="375" spans="1:24" hidden="1" x14ac:dyDescent="0.25">
      <c r="B375" t="s">
        <v>134</v>
      </c>
      <c r="C375" t="s">
        <v>135</v>
      </c>
      <c r="D375" t="s">
        <v>38</v>
      </c>
      <c r="E375" t="s">
        <v>58</v>
      </c>
      <c r="F375" t="s">
        <v>84</v>
      </c>
      <c r="G375" t="s">
        <v>43</v>
      </c>
      <c r="H375" t="s">
        <v>25</v>
      </c>
      <c r="I375" t="s">
        <v>85</v>
      </c>
      <c r="J375">
        <v>1</v>
      </c>
      <c r="K375" s="1">
        <v>45029</v>
      </c>
      <c r="L375" s="1">
        <v>45042</v>
      </c>
      <c r="M375" s="1">
        <v>45085</v>
      </c>
      <c r="N375" s="1">
        <v>45117</v>
      </c>
      <c r="O375" s="1">
        <v>45170</v>
      </c>
      <c r="P375" s="1">
        <v>45205</v>
      </c>
      <c r="Q375" s="1">
        <v>45092</v>
      </c>
      <c r="R375" s="1">
        <v>45159</v>
      </c>
    </row>
    <row r="376" spans="1:24" hidden="1" x14ac:dyDescent="0.25">
      <c r="B376" t="s">
        <v>134</v>
      </c>
      <c r="C376" t="s">
        <v>135</v>
      </c>
      <c r="D376" t="s">
        <v>38</v>
      </c>
      <c r="E376" t="s">
        <v>58</v>
      </c>
      <c r="F376" t="s">
        <v>84</v>
      </c>
      <c r="G376" t="s">
        <v>40</v>
      </c>
      <c r="H376" t="s">
        <v>25</v>
      </c>
      <c r="I376" t="s">
        <v>86</v>
      </c>
      <c r="J376">
        <v>2</v>
      </c>
      <c r="K376" s="1">
        <v>45054</v>
      </c>
      <c r="L376" s="1">
        <v>45072</v>
      </c>
      <c r="M376" s="1">
        <v>45117</v>
      </c>
      <c r="N376" s="1"/>
      <c r="O376" s="1">
        <v>45184</v>
      </c>
      <c r="P376" s="1">
        <v>45205</v>
      </c>
      <c r="Q376" s="1" t="e">
        <v>#NUM!</v>
      </c>
      <c r="R376" s="1" t="e">
        <v>#NUM!</v>
      </c>
    </row>
    <row r="377" spans="1:24" hidden="1" x14ac:dyDescent="0.25">
      <c r="B377" t="s">
        <v>134</v>
      </c>
      <c r="C377" t="s">
        <v>135</v>
      </c>
      <c r="D377" t="s">
        <v>38</v>
      </c>
      <c r="E377" t="s">
        <v>58</v>
      </c>
      <c r="F377" t="s">
        <v>84</v>
      </c>
      <c r="G377" t="s">
        <v>40</v>
      </c>
      <c r="H377" t="s">
        <v>25</v>
      </c>
      <c r="I377" t="s">
        <v>85</v>
      </c>
      <c r="J377">
        <v>2</v>
      </c>
      <c r="K377" s="1">
        <v>45054</v>
      </c>
      <c r="L377" s="1">
        <v>45072</v>
      </c>
      <c r="M377" s="1">
        <v>45117</v>
      </c>
      <c r="N377" s="1"/>
      <c r="O377" s="1">
        <v>45184</v>
      </c>
      <c r="P377" s="1">
        <v>45205</v>
      </c>
      <c r="Q377" s="1" t="e">
        <v>#NUM!</v>
      </c>
      <c r="R377" s="1" t="e">
        <v>#NUM!</v>
      </c>
    </row>
    <row r="378" spans="1:24" hidden="1" x14ac:dyDescent="0.25">
      <c r="B378" t="s">
        <v>134</v>
      </c>
      <c r="C378" t="s">
        <v>135</v>
      </c>
      <c r="D378" t="s">
        <v>38</v>
      </c>
      <c r="E378" t="s">
        <v>58</v>
      </c>
      <c r="F378" t="s">
        <v>84</v>
      </c>
      <c r="G378" t="s">
        <v>41</v>
      </c>
      <c r="H378" t="s">
        <v>25</v>
      </c>
      <c r="I378" t="s">
        <v>86</v>
      </c>
      <c r="J378">
        <v>2</v>
      </c>
      <c r="K378" s="1">
        <v>45054</v>
      </c>
      <c r="L378" s="1">
        <v>45072</v>
      </c>
      <c r="M378" s="1">
        <v>45117</v>
      </c>
      <c r="N378" s="1"/>
      <c r="O378" s="1">
        <v>45170</v>
      </c>
      <c r="P378" s="1">
        <v>45205</v>
      </c>
      <c r="Q378" s="1" t="e">
        <v>#NUM!</v>
      </c>
      <c r="R378" s="1" t="e">
        <v>#NUM!</v>
      </c>
    </row>
    <row r="379" spans="1:24" hidden="1" x14ac:dyDescent="0.25">
      <c r="B379" t="s">
        <v>134</v>
      </c>
      <c r="C379" t="s">
        <v>135</v>
      </c>
      <c r="D379" t="s">
        <v>38</v>
      </c>
      <c r="E379" t="s">
        <v>58</v>
      </c>
      <c r="F379" t="s">
        <v>84</v>
      </c>
      <c r="G379" t="s">
        <v>41</v>
      </c>
      <c r="H379" t="s">
        <v>25</v>
      </c>
      <c r="I379" t="s">
        <v>85</v>
      </c>
      <c r="J379">
        <v>2</v>
      </c>
      <c r="K379" s="1">
        <v>45054</v>
      </c>
      <c r="L379" s="1">
        <v>45072</v>
      </c>
      <c r="M379" s="1">
        <v>45117</v>
      </c>
      <c r="N379" s="1"/>
      <c r="O379" s="1">
        <v>45170</v>
      </c>
      <c r="P379" s="1">
        <v>45205</v>
      </c>
      <c r="Q379" s="1" t="e">
        <v>#NUM!</v>
      </c>
      <c r="R379" s="1" t="e">
        <v>#NUM!</v>
      </c>
    </row>
    <row r="380" spans="1:24" hidden="1" x14ac:dyDescent="0.25">
      <c r="B380" t="s">
        <v>134</v>
      </c>
      <c r="C380" t="s">
        <v>135</v>
      </c>
      <c r="D380" t="s">
        <v>38</v>
      </c>
      <c r="E380" t="s">
        <v>58</v>
      </c>
      <c r="F380" t="s">
        <v>84</v>
      </c>
      <c r="G380" t="s">
        <v>42</v>
      </c>
      <c r="H380" t="s">
        <v>25</v>
      </c>
      <c r="I380" t="s">
        <v>85</v>
      </c>
      <c r="J380">
        <v>2</v>
      </c>
      <c r="K380" s="1">
        <v>45054</v>
      </c>
      <c r="L380" s="1">
        <v>45072</v>
      </c>
      <c r="M380" s="1">
        <v>45117</v>
      </c>
      <c r="N380" s="1"/>
      <c r="O380" s="1">
        <v>45170</v>
      </c>
      <c r="P380" s="1">
        <v>45205</v>
      </c>
      <c r="Q380" s="1" t="e">
        <v>#NUM!</v>
      </c>
      <c r="R380" s="1" t="e">
        <v>#NUM!</v>
      </c>
    </row>
    <row r="381" spans="1:24" hidden="1" x14ac:dyDescent="0.25">
      <c r="B381" t="s">
        <v>134</v>
      </c>
      <c r="C381" t="s">
        <v>135</v>
      </c>
      <c r="D381" t="s">
        <v>38</v>
      </c>
      <c r="E381" t="s">
        <v>58</v>
      </c>
      <c r="F381" t="s">
        <v>84</v>
      </c>
      <c r="G381" t="s">
        <v>43</v>
      </c>
      <c r="H381" t="s">
        <v>25</v>
      </c>
      <c r="I381" t="s">
        <v>85</v>
      </c>
      <c r="J381">
        <v>2</v>
      </c>
      <c r="K381" s="1">
        <v>45054</v>
      </c>
      <c r="L381" s="1">
        <v>45072</v>
      </c>
      <c r="M381" s="1">
        <v>45117</v>
      </c>
      <c r="N381" s="1"/>
      <c r="O381" s="1">
        <v>45184</v>
      </c>
      <c r="P381" s="1">
        <v>45205</v>
      </c>
      <c r="Q381" s="1" t="e">
        <v>#NUM!</v>
      </c>
      <c r="R381" s="1" t="e">
        <v>#NUM!</v>
      </c>
    </row>
    <row r="382" spans="1:24" x14ac:dyDescent="0.25">
      <c r="A382" t="str">
        <f t="shared" ref="A382:A393" si="31">C382&amp;"TOSTOS"&amp;J382&amp;"Variety"&amp;G382&amp;"WaterTrt"&amp;H382&amp;IF(I382="","","Agronomy"&amp;I382)</f>
        <v>2023_SA_Warnertown_Lentil_SatelliteTOSTOS1VarietyBoltWaterTrtRainFedAgronomyDensity_0.66</v>
      </c>
      <c r="B382" t="s">
        <v>136</v>
      </c>
      <c r="C382" t="s">
        <v>137</v>
      </c>
      <c r="D382" t="s">
        <v>46</v>
      </c>
      <c r="E382" t="s">
        <v>58</v>
      </c>
      <c r="F382" t="s">
        <v>84</v>
      </c>
      <c r="G382" t="s">
        <v>165</v>
      </c>
      <c r="H382" t="s">
        <v>25</v>
      </c>
      <c r="I382" t="s">
        <v>86</v>
      </c>
      <c r="J382">
        <v>1</v>
      </c>
      <c r="K382" s="1">
        <v>45029</v>
      </c>
      <c r="L382" s="1">
        <v>45036</v>
      </c>
      <c r="M382" s="1">
        <v>45085</v>
      </c>
      <c r="N382" s="1">
        <v>45136</v>
      </c>
      <c r="O382" s="1">
        <v>45156</v>
      </c>
      <c r="P382" s="1">
        <v>45194</v>
      </c>
      <c r="Q382" s="1">
        <v>45109</v>
      </c>
      <c r="R382" s="1">
        <v>45174</v>
      </c>
      <c r="T382">
        <f t="shared" ref="T382:T393" si="32">L382-$K382</f>
        <v>7</v>
      </c>
      <c r="U382">
        <f t="shared" ref="U382:U393" si="33">M382-$K382</f>
        <v>56</v>
      </c>
      <c r="V382">
        <f t="shared" ref="V382:V393" si="34">N382-$K382</f>
        <v>107</v>
      </c>
      <c r="W382">
        <f t="shared" ref="W382:W393" si="35">O382-$K382</f>
        <v>127</v>
      </c>
      <c r="X382">
        <f t="shared" ref="X382:X393" si="36">P382-$K382</f>
        <v>165</v>
      </c>
    </row>
    <row r="383" spans="1:24" x14ac:dyDescent="0.25">
      <c r="A383" t="str">
        <f t="shared" si="31"/>
        <v>2023_SA_Warnertown_Lentil_SatelliteTOSTOS1VarietyBoltWaterTrtRainFedAgronomyDensity_1</v>
      </c>
      <c r="B383" t="s">
        <v>136</v>
      </c>
      <c r="C383" t="s">
        <v>137</v>
      </c>
      <c r="D383" t="s">
        <v>46</v>
      </c>
      <c r="E383" t="s">
        <v>58</v>
      </c>
      <c r="F383" t="s">
        <v>84</v>
      </c>
      <c r="G383" t="s">
        <v>165</v>
      </c>
      <c r="H383" t="s">
        <v>25</v>
      </c>
      <c r="I383" t="s">
        <v>85</v>
      </c>
      <c r="J383">
        <v>1</v>
      </c>
      <c r="K383" s="1">
        <v>45029</v>
      </c>
      <c r="L383" s="1">
        <v>45036</v>
      </c>
      <c r="M383" s="1">
        <v>45085</v>
      </c>
      <c r="N383" s="1">
        <v>45136</v>
      </c>
      <c r="O383" s="1">
        <v>45156</v>
      </c>
      <c r="P383" s="1">
        <v>45194</v>
      </c>
      <c r="Q383" s="1">
        <v>45109</v>
      </c>
      <c r="R383" s="1">
        <v>45174</v>
      </c>
      <c r="T383">
        <f t="shared" si="32"/>
        <v>7</v>
      </c>
      <c r="U383">
        <f t="shared" si="33"/>
        <v>56</v>
      </c>
      <c r="V383">
        <f t="shared" si="34"/>
        <v>107</v>
      </c>
      <c r="W383">
        <f t="shared" si="35"/>
        <v>127</v>
      </c>
      <c r="X383">
        <f t="shared" si="36"/>
        <v>165</v>
      </c>
    </row>
    <row r="384" spans="1:24" x14ac:dyDescent="0.25">
      <c r="A384" t="str">
        <f t="shared" si="31"/>
        <v>2023_SA_Warnertown_Lentil_SatelliteTOSTOS1VarietyHallmarkXTWaterTrtRainFedAgronomyDensity_1</v>
      </c>
      <c r="B384" t="s">
        <v>136</v>
      </c>
      <c r="C384" t="s">
        <v>137</v>
      </c>
      <c r="D384" t="s">
        <v>46</v>
      </c>
      <c r="E384" t="s">
        <v>58</v>
      </c>
      <c r="F384" t="s">
        <v>84</v>
      </c>
      <c r="G384" t="s">
        <v>167</v>
      </c>
      <c r="H384" t="s">
        <v>25</v>
      </c>
      <c r="I384" t="s">
        <v>85</v>
      </c>
      <c r="J384">
        <v>1</v>
      </c>
      <c r="K384" s="1">
        <v>45029</v>
      </c>
      <c r="L384" s="1">
        <v>45036</v>
      </c>
      <c r="M384" s="1">
        <v>45085</v>
      </c>
      <c r="N384" s="1">
        <v>45134</v>
      </c>
      <c r="O384" s="1">
        <v>45156</v>
      </c>
      <c r="P384" s="1">
        <v>45194</v>
      </c>
      <c r="Q384" s="1">
        <v>45107</v>
      </c>
      <c r="R384" s="1">
        <v>45173</v>
      </c>
      <c r="T384">
        <f t="shared" si="32"/>
        <v>7</v>
      </c>
      <c r="U384">
        <f t="shared" si="33"/>
        <v>56</v>
      </c>
      <c r="V384">
        <f t="shared" si="34"/>
        <v>105</v>
      </c>
      <c r="W384">
        <f t="shared" si="35"/>
        <v>127</v>
      </c>
      <c r="X384">
        <f t="shared" si="36"/>
        <v>165</v>
      </c>
    </row>
    <row r="385" spans="1:24" x14ac:dyDescent="0.25">
      <c r="A385" t="str">
        <f t="shared" si="31"/>
        <v>2023_SA_Warnertown_Lentil_SatelliteTOSTOS1VarietyJumbo2WaterTrtRainFedAgronomyDensity_1</v>
      </c>
      <c r="B385" t="s">
        <v>136</v>
      </c>
      <c r="C385" t="s">
        <v>137</v>
      </c>
      <c r="D385" t="s">
        <v>46</v>
      </c>
      <c r="E385" t="s">
        <v>58</v>
      </c>
      <c r="F385" t="s">
        <v>84</v>
      </c>
      <c r="G385" t="s">
        <v>168</v>
      </c>
      <c r="H385" t="s">
        <v>25</v>
      </c>
      <c r="I385" t="s">
        <v>85</v>
      </c>
      <c r="J385">
        <v>1</v>
      </c>
      <c r="K385" s="1">
        <v>45029</v>
      </c>
      <c r="L385" s="1">
        <v>45036</v>
      </c>
      <c r="M385" s="1">
        <v>45085</v>
      </c>
      <c r="N385" s="1">
        <v>45138</v>
      </c>
      <c r="O385" s="1">
        <v>45156</v>
      </c>
      <c r="P385" s="1">
        <v>45194</v>
      </c>
      <c r="Q385" s="1">
        <v>45112</v>
      </c>
      <c r="R385" s="1">
        <v>45176</v>
      </c>
      <c r="T385">
        <f t="shared" si="32"/>
        <v>7</v>
      </c>
      <c r="U385">
        <f t="shared" si="33"/>
        <v>56</v>
      </c>
      <c r="V385">
        <f t="shared" si="34"/>
        <v>109</v>
      </c>
      <c r="W385">
        <f t="shared" si="35"/>
        <v>127</v>
      </c>
      <c r="X385">
        <f t="shared" si="36"/>
        <v>165</v>
      </c>
    </row>
    <row r="386" spans="1:24" x14ac:dyDescent="0.25">
      <c r="A386" t="str">
        <f t="shared" si="31"/>
        <v>2023_SA_Warnertown_Lentil_SatelliteTOSTOS1VarietyJumbo2WaterTrtRainFedAgronomyDensity_0.66</v>
      </c>
      <c r="B386" t="s">
        <v>136</v>
      </c>
      <c r="C386" t="s">
        <v>137</v>
      </c>
      <c r="D386" t="s">
        <v>46</v>
      </c>
      <c r="E386" t="s">
        <v>58</v>
      </c>
      <c r="F386" t="s">
        <v>84</v>
      </c>
      <c r="G386" t="s">
        <v>168</v>
      </c>
      <c r="H386" t="s">
        <v>25</v>
      </c>
      <c r="I386" t="s">
        <v>86</v>
      </c>
      <c r="J386">
        <v>1</v>
      </c>
      <c r="K386" s="1">
        <v>45029</v>
      </c>
      <c r="L386" s="1">
        <v>45036</v>
      </c>
      <c r="M386" s="1">
        <v>45085</v>
      </c>
      <c r="N386" s="1">
        <v>45138</v>
      </c>
      <c r="O386" s="1">
        <v>45156</v>
      </c>
      <c r="P386" s="1">
        <v>45194</v>
      </c>
      <c r="Q386" s="1">
        <v>45112</v>
      </c>
      <c r="R386" s="1">
        <v>45176</v>
      </c>
      <c r="T386">
        <f t="shared" si="32"/>
        <v>7</v>
      </c>
      <c r="U386">
        <f t="shared" si="33"/>
        <v>56</v>
      </c>
      <c r="V386">
        <f t="shared" si="34"/>
        <v>109</v>
      </c>
      <c r="W386">
        <f t="shared" si="35"/>
        <v>127</v>
      </c>
      <c r="X386">
        <f t="shared" si="36"/>
        <v>165</v>
      </c>
    </row>
    <row r="387" spans="1:24" x14ac:dyDescent="0.25">
      <c r="A387" t="str">
        <f t="shared" si="31"/>
        <v>2023_SA_Warnertown_Lentil_SatelliteTOSTOS1VarietyKelpieXTWaterTrtRainFedAgronomyDensity_1</v>
      </c>
      <c r="B387" t="s">
        <v>136</v>
      </c>
      <c r="C387" t="s">
        <v>137</v>
      </c>
      <c r="D387" t="s">
        <v>46</v>
      </c>
      <c r="E387" t="s">
        <v>58</v>
      </c>
      <c r="F387" t="s">
        <v>84</v>
      </c>
      <c r="G387" t="s">
        <v>169</v>
      </c>
      <c r="H387" t="s">
        <v>25</v>
      </c>
      <c r="I387" t="s">
        <v>85</v>
      </c>
      <c r="J387">
        <v>1</v>
      </c>
      <c r="K387" s="1">
        <v>45029</v>
      </c>
      <c r="L387" s="1">
        <v>45036</v>
      </c>
      <c r="M387" s="1">
        <v>45085</v>
      </c>
      <c r="N387" s="1">
        <v>45117</v>
      </c>
      <c r="O387" s="1">
        <v>45156</v>
      </c>
      <c r="P387" s="1">
        <v>45194</v>
      </c>
      <c r="Q387" s="1">
        <v>45092</v>
      </c>
      <c r="R387" s="1">
        <v>45159</v>
      </c>
      <c r="T387">
        <f t="shared" si="32"/>
        <v>7</v>
      </c>
      <c r="U387">
        <f t="shared" si="33"/>
        <v>56</v>
      </c>
      <c r="V387">
        <f t="shared" si="34"/>
        <v>88</v>
      </c>
      <c r="W387">
        <f t="shared" si="35"/>
        <v>127</v>
      </c>
      <c r="X387">
        <f t="shared" si="36"/>
        <v>165</v>
      </c>
    </row>
    <row r="388" spans="1:24" x14ac:dyDescent="0.25">
      <c r="A388" t="str">
        <f t="shared" si="31"/>
        <v>2023_SA_Warnertown_Lentil_SatelliteTOSTOS2VarietyBoltWaterTrtRainFedAgronomyDensity_0.66</v>
      </c>
      <c r="B388" t="s">
        <v>136</v>
      </c>
      <c r="C388" t="s">
        <v>137</v>
      </c>
      <c r="D388" t="s">
        <v>46</v>
      </c>
      <c r="E388" t="s">
        <v>58</v>
      </c>
      <c r="F388" t="s">
        <v>84</v>
      </c>
      <c r="G388" t="s">
        <v>165</v>
      </c>
      <c r="H388" t="s">
        <v>25</v>
      </c>
      <c r="I388" t="s">
        <v>86</v>
      </c>
      <c r="J388">
        <v>2</v>
      </c>
      <c r="K388" s="1">
        <v>45054</v>
      </c>
      <c r="L388" s="1">
        <v>45062</v>
      </c>
      <c r="M388" s="1">
        <v>45117</v>
      </c>
      <c r="N388" s="1">
        <v>45156</v>
      </c>
      <c r="O388" s="1">
        <v>45170</v>
      </c>
      <c r="P388" s="1">
        <v>45194</v>
      </c>
      <c r="Q388" s="1">
        <v>45131</v>
      </c>
      <c r="R388" s="1">
        <v>45190</v>
      </c>
      <c r="T388">
        <f t="shared" si="32"/>
        <v>8</v>
      </c>
      <c r="U388">
        <f t="shared" si="33"/>
        <v>63</v>
      </c>
      <c r="V388">
        <f t="shared" si="34"/>
        <v>102</v>
      </c>
      <c r="W388">
        <f t="shared" si="35"/>
        <v>116</v>
      </c>
      <c r="X388">
        <f t="shared" si="36"/>
        <v>140</v>
      </c>
    </row>
    <row r="389" spans="1:24" x14ac:dyDescent="0.25">
      <c r="A389" t="str">
        <f t="shared" si="31"/>
        <v>2023_SA_Warnertown_Lentil_SatelliteTOSTOS2VarietyBoltWaterTrtRainFedAgronomyDensity_1</v>
      </c>
      <c r="B389" t="s">
        <v>136</v>
      </c>
      <c r="C389" t="s">
        <v>137</v>
      </c>
      <c r="D389" t="s">
        <v>46</v>
      </c>
      <c r="E389" t="s">
        <v>58</v>
      </c>
      <c r="F389" t="s">
        <v>84</v>
      </c>
      <c r="G389" t="s">
        <v>165</v>
      </c>
      <c r="H389" t="s">
        <v>25</v>
      </c>
      <c r="I389" t="s">
        <v>85</v>
      </c>
      <c r="J389">
        <v>2</v>
      </c>
      <c r="K389" s="1">
        <v>45054</v>
      </c>
      <c r="L389" s="1">
        <v>45062</v>
      </c>
      <c r="M389" s="1">
        <v>45117</v>
      </c>
      <c r="N389" s="1">
        <v>45156</v>
      </c>
      <c r="O389" s="1">
        <v>45170</v>
      </c>
      <c r="P389" s="1">
        <v>45194</v>
      </c>
      <c r="Q389" s="1">
        <v>45131</v>
      </c>
      <c r="R389" s="1">
        <v>45190</v>
      </c>
      <c r="T389">
        <f t="shared" si="32"/>
        <v>8</v>
      </c>
      <c r="U389">
        <f t="shared" si="33"/>
        <v>63</v>
      </c>
      <c r="V389">
        <f t="shared" si="34"/>
        <v>102</v>
      </c>
      <c r="W389">
        <f t="shared" si="35"/>
        <v>116</v>
      </c>
      <c r="X389">
        <f t="shared" si="36"/>
        <v>140</v>
      </c>
    </row>
    <row r="390" spans="1:24" x14ac:dyDescent="0.25">
      <c r="A390" t="str">
        <f t="shared" si="31"/>
        <v>2023_SA_Warnertown_Lentil_SatelliteTOSTOS2VarietyHallmarkXTWaterTrtRainFedAgronomyDensity_1</v>
      </c>
      <c r="B390" t="s">
        <v>136</v>
      </c>
      <c r="C390" t="s">
        <v>137</v>
      </c>
      <c r="D390" t="s">
        <v>46</v>
      </c>
      <c r="E390" t="s">
        <v>58</v>
      </c>
      <c r="F390" t="s">
        <v>84</v>
      </c>
      <c r="G390" t="s">
        <v>167</v>
      </c>
      <c r="H390" t="s">
        <v>25</v>
      </c>
      <c r="I390" t="s">
        <v>85</v>
      </c>
      <c r="J390">
        <v>2</v>
      </c>
      <c r="K390" s="1">
        <v>45054</v>
      </c>
      <c r="L390" s="1">
        <v>45062</v>
      </c>
      <c r="M390" s="1">
        <v>45117</v>
      </c>
      <c r="N390" s="1">
        <v>45156</v>
      </c>
      <c r="O390" s="1">
        <v>45170</v>
      </c>
      <c r="P390" s="1">
        <v>45194</v>
      </c>
      <c r="Q390" s="1">
        <v>45131</v>
      </c>
      <c r="R390" s="1">
        <v>45190</v>
      </c>
      <c r="T390">
        <f t="shared" si="32"/>
        <v>8</v>
      </c>
      <c r="U390">
        <f t="shared" si="33"/>
        <v>63</v>
      </c>
      <c r="V390">
        <f t="shared" si="34"/>
        <v>102</v>
      </c>
      <c r="W390">
        <f t="shared" si="35"/>
        <v>116</v>
      </c>
      <c r="X390">
        <f t="shared" si="36"/>
        <v>140</v>
      </c>
    </row>
    <row r="391" spans="1:24" x14ac:dyDescent="0.25">
      <c r="A391" t="str">
        <f t="shared" si="31"/>
        <v>2023_SA_Warnertown_Lentil_SatelliteTOSTOS2VarietyJumbo2WaterTrtRainFedAgronomyDensity_1</v>
      </c>
      <c r="B391" t="s">
        <v>136</v>
      </c>
      <c r="C391" t="s">
        <v>137</v>
      </c>
      <c r="D391" t="s">
        <v>46</v>
      </c>
      <c r="E391" t="s">
        <v>58</v>
      </c>
      <c r="F391" t="s">
        <v>84</v>
      </c>
      <c r="G391" t="s">
        <v>168</v>
      </c>
      <c r="H391" t="s">
        <v>25</v>
      </c>
      <c r="I391" t="s">
        <v>85</v>
      </c>
      <c r="J391">
        <v>2</v>
      </c>
      <c r="K391" s="1">
        <v>45054</v>
      </c>
      <c r="L391" s="1">
        <v>45062</v>
      </c>
      <c r="M391" s="1">
        <v>45117</v>
      </c>
      <c r="N391" s="1">
        <v>45151</v>
      </c>
      <c r="O391" s="1">
        <v>45170</v>
      </c>
      <c r="P391" s="1">
        <v>45194</v>
      </c>
      <c r="Q391" s="1">
        <v>45125</v>
      </c>
      <c r="R391" s="1">
        <v>45186</v>
      </c>
      <c r="T391">
        <f t="shared" si="32"/>
        <v>8</v>
      </c>
      <c r="U391">
        <f t="shared" si="33"/>
        <v>63</v>
      </c>
      <c r="V391">
        <f t="shared" si="34"/>
        <v>97</v>
      </c>
      <c r="W391">
        <f t="shared" si="35"/>
        <v>116</v>
      </c>
      <c r="X391">
        <f t="shared" si="36"/>
        <v>140</v>
      </c>
    </row>
    <row r="392" spans="1:24" x14ac:dyDescent="0.25">
      <c r="A392" t="str">
        <f t="shared" si="31"/>
        <v>2023_SA_Warnertown_Lentil_SatelliteTOSTOS2VarietyJumbo2WaterTrtRainFedAgronomyDensity_0.66</v>
      </c>
      <c r="B392" t="s">
        <v>136</v>
      </c>
      <c r="C392" t="s">
        <v>137</v>
      </c>
      <c r="D392" t="s">
        <v>46</v>
      </c>
      <c r="E392" t="s">
        <v>58</v>
      </c>
      <c r="F392" t="s">
        <v>84</v>
      </c>
      <c r="G392" t="s">
        <v>168</v>
      </c>
      <c r="H392" t="s">
        <v>25</v>
      </c>
      <c r="I392" t="s">
        <v>86</v>
      </c>
      <c r="J392">
        <v>2</v>
      </c>
      <c r="K392" s="1">
        <v>45054</v>
      </c>
      <c r="L392" s="1">
        <v>45062</v>
      </c>
      <c r="M392" s="1">
        <v>45117</v>
      </c>
      <c r="N392" s="1">
        <v>45151</v>
      </c>
      <c r="O392" s="1">
        <v>45170</v>
      </c>
      <c r="P392" s="1">
        <v>45194</v>
      </c>
      <c r="Q392" s="1">
        <v>45125</v>
      </c>
      <c r="R392" s="1">
        <v>45186</v>
      </c>
      <c r="T392">
        <f t="shared" si="32"/>
        <v>8</v>
      </c>
      <c r="U392">
        <f t="shared" si="33"/>
        <v>63</v>
      </c>
      <c r="V392">
        <f t="shared" si="34"/>
        <v>97</v>
      </c>
      <c r="W392">
        <f t="shared" si="35"/>
        <v>116</v>
      </c>
      <c r="X392">
        <f t="shared" si="36"/>
        <v>140</v>
      </c>
    </row>
    <row r="393" spans="1:24" x14ac:dyDescent="0.25">
      <c r="A393" t="str">
        <f t="shared" si="31"/>
        <v>2023_SA_Warnertown_Lentil_SatelliteTOSTOS2VarietyKelpieXTWaterTrtRainFedAgronomyDensity_1</v>
      </c>
      <c r="B393" t="s">
        <v>136</v>
      </c>
      <c r="C393" t="s">
        <v>137</v>
      </c>
      <c r="D393" t="s">
        <v>46</v>
      </c>
      <c r="E393" t="s">
        <v>58</v>
      </c>
      <c r="F393" t="s">
        <v>84</v>
      </c>
      <c r="G393" t="s">
        <v>169</v>
      </c>
      <c r="H393" t="s">
        <v>25</v>
      </c>
      <c r="I393" t="s">
        <v>85</v>
      </c>
      <c r="J393">
        <v>2</v>
      </c>
      <c r="K393" s="1">
        <v>45054</v>
      </c>
      <c r="L393" s="1">
        <v>45062</v>
      </c>
      <c r="M393" s="1">
        <v>45117</v>
      </c>
      <c r="N393" s="1">
        <v>45145</v>
      </c>
      <c r="O393" s="1">
        <v>45170</v>
      </c>
      <c r="P393" s="1">
        <v>45194</v>
      </c>
      <c r="Q393" s="1">
        <v>45118</v>
      </c>
      <c r="R393" s="1">
        <v>45182</v>
      </c>
      <c r="T393">
        <f t="shared" si="32"/>
        <v>8</v>
      </c>
      <c r="U393">
        <f t="shared" si="33"/>
        <v>63</v>
      </c>
      <c r="V393">
        <f t="shared" si="34"/>
        <v>91</v>
      </c>
      <c r="W393">
        <f t="shared" si="35"/>
        <v>116</v>
      </c>
      <c r="X393">
        <f t="shared" si="36"/>
        <v>140</v>
      </c>
    </row>
    <row r="394" spans="1:24" hidden="1" x14ac:dyDescent="0.25">
      <c r="B394" t="s">
        <v>138</v>
      </c>
      <c r="C394" t="s">
        <v>139</v>
      </c>
      <c r="D394" t="s">
        <v>20</v>
      </c>
      <c r="E394" t="s">
        <v>58</v>
      </c>
      <c r="F394" t="s">
        <v>72</v>
      </c>
      <c r="G394" t="s">
        <v>23</v>
      </c>
      <c r="H394" t="s">
        <v>25</v>
      </c>
      <c r="J394">
        <v>1</v>
      </c>
      <c r="K394" s="1">
        <v>45050</v>
      </c>
      <c r="L394" s="1">
        <v>45076</v>
      </c>
      <c r="M394" s="1">
        <v>45145</v>
      </c>
      <c r="N394" s="1">
        <v>45177</v>
      </c>
      <c r="O394" s="1">
        <v>45186</v>
      </c>
      <c r="P394" s="1">
        <v>45214</v>
      </c>
      <c r="Q394" s="1">
        <v>45139</v>
      </c>
      <c r="R394" s="1">
        <v>45218</v>
      </c>
    </row>
    <row r="395" spans="1:24" hidden="1" x14ac:dyDescent="0.25">
      <c r="B395" t="s">
        <v>138</v>
      </c>
      <c r="C395" t="s">
        <v>139</v>
      </c>
      <c r="D395" t="s">
        <v>20</v>
      </c>
      <c r="E395" t="s">
        <v>58</v>
      </c>
      <c r="F395" t="s">
        <v>72</v>
      </c>
      <c r="G395" t="s">
        <v>26</v>
      </c>
      <c r="H395" t="s">
        <v>25</v>
      </c>
      <c r="J395">
        <v>1</v>
      </c>
      <c r="K395" s="1">
        <v>45050</v>
      </c>
      <c r="L395" s="1">
        <v>45076</v>
      </c>
      <c r="M395" s="1">
        <v>45145</v>
      </c>
      <c r="N395" s="1">
        <v>45177</v>
      </c>
      <c r="O395" s="1">
        <v>45190</v>
      </c>
      <c r="P395" s="1">
        <v>45214</v>
      </c>
      <c r="Q395" s="1">
        <v>45139</v>
      </c>
      <c r="R395" s="1">
        <v>45218</v>
      </c>
    </row>
    <row r="396" spans="1:24" hidden="1" x14ac:dyDescent="0.25">
      <c r="B396" t="s">
        <v>138</v>
      </c>
      <c r="C396" t="s">
        <v>139</v>
      </c>
      <c r="D396" t="s">
        <v>20</v>
      </c>
      <c r="E396" t="s">
        <v>58</v>
      </c>
      <c r="F396" t="s">
        <v>72</v>
      </c>
      <c r="G396" t="s">
        <v>27</v>
      </c>
      <c r="H396" t="s">
        <v>25</v>
      </c>
      <c r="J396">
        <v>1</v>
      </c>
      <c r="K396" s="1">
        <v>45050</v>
      </c>
      <c r="L396" s="1">
        <v>45076</v>
      </c>
      <c r="M396" s="1">
        <v>45145</v>
      </c>
      <c r="N396" s="1">
        <v>45181</v>
      </c>
      <c r="O396" s="1">
        <v>45193</v>
      </c>
      <c r="P396" s="1">
        <v>45214</v>
      </c>
      <c r="Q396" s="1">
        <v>45142</v>
      </c>
      <c r="R396" s="1">
        <v>45220</v>
      </c>
    </row>
    <row r="397" spans="1:24" hidden="1" x14ac:dyDescent="0.25">
      <c r="B397" t="s">
        <v>138</v>
      </c>
      <c r="C397" t="s">
        <v>139</v>
      </c>
      <c r="D397" t="s">
        <v>20</v>
      </c>
      <c r="E397" t="s">
        <v>58</v>
      </c>
      <c r="F397" t="s">
        <v>72</v>
      </c>
      <c r="G397" t="s">
        <v>28</v>
      </c>
      <c r="H397" t="s">
        <v>25</v>
      </c>
      <c r="J397">
        <v>1</v>
      </c>
      <c r="K397" s="1">
        <v>45050</v>
      </c>
      <c r="L397" s="1">
        <v>45076</v>
      </c>
      <c r="M397" s="1">
        <v>45145</v>
      </c>
      <c r="N397" s="1">
        <v>45177</v>
      </c>
      <c r="O397" s="1">
        <v>45186</v>
      </c>
      <c r="P397" s="1">
        <v>45214</v>
      </c>
      <c r="Q397" s="1">
        <v>45139</v>
      </c>
      <c r="R397" s="1">
        <v>45218</v>
      </c>
    </row>
    <row r="398" spans="1:24" hidden="1" x14ac:dyDescent="0.25">
      <c r="B398" t="s">
        <v>138</v>
      </c>
      <c r="C398" t="s">
        <v>139</v>
      </c>
      <c r="D398" t="s">
        <v>20</v>
      </c>
      <c r="E398" t="s">
        <v>58</v>
      </c>
      <c r="F398" t="s">
        <v>72</v>
      </c>
      <c r="G398" t="s">
        <v>23</v>
      </c>
      <c r="H398" t="s">
        <v>25</v>
      </c>
      <c r="J398">
        <v>2</v>
      </c>
      <c r="K398" s="1">
        <v>45093</v>
      </c>
      <c r="L398" s="1">
        <v>45119</v>
      </c>
      <c r="M398" s="1">
        <v>45178</v>
      </c>
      <c r="N398" s="1">
        <v>45193</v>
      </c>
      <c r="O398" s="1">
        <v>45200</v>
      </c>
      <c r="P398" s="1">
        <v>45239</v>
      </c>
      <c r="Q398" s="1">
        <v>45166</v>
      </c>
      <c r="R398" s="1">
        <v>45233</v>
      </c>
      <c r="S398" t="s">
        <v>140</v>
      </c>
    </row>
    <row r="399" spans="1:24" hidden="1" x14ac:dyDescent="0.25">
      <c r="B399" t="s">
        <v>138</v>
      </c>
      <c r="C399" t="s">
        <v>139</v>
      </c>
      <c r="D399" t="s">
        <v>20</v>
      </c>
      <c r="E399" t="s">
        <v>58</v>
      </c>
      <c r="F399" t="s">
        <v>72</v>
      </c>
      <c r="G399" t="s">
        <v>26</v>
      </c>
      <c r="H399" t="s">
        <v>25</v>
      </c>
      <c r="J399">
        <v>2</v>
      </c>
      <c r="K399" s="1">
        <v>45093</v>
      </c>
      <c r="L399" s="1">
        <v>45119</v>
      </c>
      <c r="M399" s="1">
        <v>45177</v>
      </c>
      <c r="N399" s="1">
        <v>45193</v>
      </c>
      <c r="O399" s="1">
        <v>45203</v>
      </c>
      <c r="P399" s="1">
        <v>45239</v>
      </c>
      <c r="Q399" s="1">
        <v>45166</v>
      </c>
      <c r="R399" s="1">
        <v>45233</v>
      </c>
      <c r="S399" t="s">
        <v>140</v>
      </c>
    </row>
    <row r="400" spans="1:24" hidden="1" x14ac:dyDescent="0.25">
      <c r="B400" t="s">
        <v>138</v>
      </c>
      <c r="C400" t="s">
        <v>139</v>
      </c>
      <c r="D400" t="s">
        <v>20</v>
      </c>
      <c r="E400" t="s">
        <v>58</v>
      </c>
      <c r="F400" t="s">
        <v>72</v>
      </c>
      <c r="G400" t="s">
        <v>27</v>
      </c>
      <c r="H400" t="s">
        <v>25</v>
      </c>
      <c r="J400">
        <v>2</v>
      </c>
      <c r="K400" s="1">
        <v>45093</v>
      </c>
      <c r="L400" s="1">
        <v>45119</v>
      </c>
      <c r="M400" s="1">
        <v>45180</v>
      </c>
      <c r="N400" s="1">
        <v>45189</v>
      </c>
      <c r="O400" s="1">
        <v>45203</v>
      </c>
      <c r="P400" s="1">
        <v>45239</v>
      </c>
      <c r="Q400" s="1">
        <v>45160</v>
      </c>
      <c r="R400" s="1">
        <v>45230</v>
      </c>
      <c r="S400" t="s">
        <v>140</v>
      </c>
    </row>
    <row r="401" spans="1:24" hidden="1" x14ac:dyDescent="0.25">
      <c r="B401" t="s">
        <v>138</v>
      </c>
      <c r="C401" t="s">
        <v>139</v>
      </c>
      <c r="D401" t="s">
        <v>20</v>
      </c>
      <c r="E401" t="s">
        <v>58</v>
      </c>
      <c r="F401" t="s">
        <v>72</v>
      </c>
      <c r="G401" t="s">
        <v>28</v>
      </c>
      <c r="H401" t="s">
        <v>25</v>
      </c>
      <c r="J401">
        <v>2</v>
      </c>
      <c r="K401" s="1">
        <v>45093</v>
      </c>
      <c r="L401" s="1">
        <v>45119</v>
      </c>
      <c r="M401" s="1">
        <v>45177</v>
      </c>
      <c r="N401" s="1">
        <v>45184</v>
      </c>
      <c r="O401" s="1">
        <v>45193</v>
      </c>
      <c r="P401" s="1">
        <v>45239</v>
      </c>
      <c r="Q401" s="1">
        <v>45150</v>
      </c>
      <c r="R401" s="1">
        <v>45223</v>
      </c>
      <c r="S401" t="s">
        <v>140</v>
      </c>
    </row>
    <row r="402" spans="1:24" x14ac:dyDescent="0.25">
      <c r="A402" t="str">
        <f t="shared" ref="A402:A409" si="37">C402&amp;"TOSTOS"&amp;J402&amp;"Variety"&amp;G402&amp;"WaterTrt"&amp;H402&amp;IF(I402="","","Agronomy"&amp;I402)</f>
        <v>2023_Vic_Ouyen_Lentil_SatelliteTOSTOS1VarietyBoltWaterTrtRainFed</v>
      </c>
      <c r="B402" t="s">
        <v>141</v>
      </c>
      <c r="C402" t="s">
        <v>142</v>
      </c>
      <c r="D402" t="s">
        <v>46</v>
      </c>
      <c r="E402" t="s">
        <v>58</v>
      </c>
      <c r="F402" t="s">
        <v>72</v>
      </c>
      <c r="G402" t="s">
        <v>165</v>
      </c>
      <c r="H402" t="s">
        <v>25</v>
      </c>
      <c r="J402">
        <v>1</v>
      </c>
      <c r="K402" s="1">
        <v>45050</v>
      </c>
      <c r="L402" s="1">
        <v>45061</v>
      </c>
      <c r="M402" s="1">
        <v>45140</v>
      </c>
      <c r="N402" s="1"/>
      <c r="O402" s="1">
        <v>45177</v>
      </c>
      <c r="P402" s="1">
        <v>45214</v>
      </c>
      <c r="Q402" s="1" t="e">
        <v>#NUM!</v>
      </c>
      <c r="R402" s="1" t="e">
        <v>#NUM!</v>
      </c>
      <c r="T402">
        <f t="shared" ref="T402:T409" si="38">L402-$K402</f>
        <v>11</v>
      </c>
      <c r="U402">
        <f t="shared" ref="U402:U409" si="39">M402-$K402</f>
        <v>90</v>
      </c>
      <c r="W402">
        <f t="shared" ref="W402:W409" si="40">O402-$K402</f>
        <v>127</v>
      </c>
      <c r="X402">
        <f t="shared" ref="X402:X409" si="41">P402-$K402</f>
        <v>164</v>
      </c>
    </row>
    <row r="403" spans="1:24" x14ac:dyDescent="0.25">
      <c r="A403" t="str">
        <f t="shared" si="37"/>
        <v>2023_Vic_Ouyen_Lentil_SatelliteTOSTOS1VarietyHallmarkXTWaterTrtRainFed</v>
      </c>
      <c r="B403" t="s">
        <v>141</v>
      </c>
      <c r="C403" t="s">
        <v>142</v>
      </c>
      <c r="D403" t="s">
        <v>46</v>
      </c>
      <c r="E403" t="s">
        <v>58</v>
      </c>
      <c r="F403" t="s">
        <v>72</v>
      </c>
      <c r="G403" t="s">
        <v>167</v>
      </c>
      <c r="H403" t="s">
        <v>25</v>
      </c>
      <c r="J403">
        <v>1</v>
      </c>
      <c r="K403" s="1">
        <v>45050</v>
      </c>
      <c r="L403" s="1">
        <v>45061</v>
      </c>
      <c r="M403" s="1">
        <v>45138</v>
      </c>
      <c r="N403" s="1"/>
      <c r="O403" s="1">
        <v>45177</v>
      </c>
      <c r="P403" s="1">
        <v>45214</v>
      </c>
      <c r="Q403" s="1" t="e">
        <v>#NUM!</v>
      </c>
      <c r="R403" s="1" t="e">
        <v>#NUM!</v>
      </c>
      <c r="T403">
        <f t="shared" si="38"/>
        <v>11</v>
      </c>
      <c r="U403">
        <f t="shared" si="39"/>
        <v>88</v>
      </c>
      <c r="W403">
        <f t="shared" si="40"/>
        <v>127</v>
      </c>
      <c r="X403">
        <f t="shared" si="41"/>
        <v>164</v>
      </c>
    </row>
    <row r="404" spans="1:24" x14ac:dyDescent="0.25">
      <c r="A404" t="str">
        <f t="shared" si="37"/>
        <v>2023_Vic_Ouyen_Lentil_SatelliteTOSTOS1VarietyJumbo2WaterTrtRainFed</v>
      </c>
      <c r="B404" t="s">
        <v>141</v>
      </c>
      <c r="C404" t="s">
        <v>142</v>
      </c>
      <c r="D404" t="s">
        <v>46</v>
      </c>
      <c r="E404" t="s">
        <v>58</v>
      </c>
      <c r="F404" t="s">
        <v>72</v>
      </c>
      <c r="G404" t="s">
        <v>168</v>
      </c>
      <c r="H404" t="s">
        <v>25</v>
      </c>
      <c r="J404">
        <v>1</v>
      </c>
      <c r="K404" s="1">
        <v>45050</v>
      </c>
      <c r="L404" s="1">
        <v>45061</v>
      </c>
      <c r="M404" s="1">
        <v>45135</v>
      </c>
      <c r="N404" s="1"/>
      <c r="O404" s="1">
        <v>45177</v>
      </c>
      <c r="P404" s="1">
        <v>45214</v>
      </c>
      <c r="Q404" s="1" t="e">
        <v>#NUM!</v>
      </c>
      <c r="R404" s="1" t="e">
        <v>#NUM!</v>
      </c>
      <c r="T404">
        <f t="shared" si="38"/>
        <v>11</v>
      </c>
      <c r="U404">
        <f t="shared" si="39"/>
        <v>85</v>
      </c>
      <c r="W404">
        <f t="shared" si="40"/>
        <v>127</v>
      </c>
      <c r="X404">
        <f t="shared" si="41"/>
        <v>164</v>
      </c>
    </row>
    <row r="405" spans="1:24" x14ac:dyDescent="0.25">
      <c r="A405" t="str">
        <f t="shared" si="37"/>
        <v>2023_Vic_Ouyen_Lentil_SatelliteTOSTOS1VarietyKelpieXTWaterTrtRainFed</v>
      </c>
      <c r="B405" t="s">
        <v>141</v>
      </c>
      <c r="C405" t="s">
        <v>142</v>
      </c>
      <c r="D405" t="s">
        <v>46</v>
      </c>
      <c r="E405" t="s">
        <v>58</v>
      </c>
      <c r="F405" t="s">
        <v>72</v>
      </c>
      <c r="G405" t="s">
        <v>169</v>
      </c>
      <c r="H405" t="s">
        <v>25</v>
      </c>
      <c r="J405">
        <v>1</v>
      </c>
      <c r="K405" s="1">
        <v>45050</v>
      </c>
      <c r="L405" s="1">
        <v>45061</v>
      </c>
      <c r="M405" s="1">
        <v>45145</v>
      </c>
      <c r="N405" s="1"/>
      <c r="O405" s="1">
        <v>45177</v>
      </c>
      <c r="P405" s="1">
        <v>45211</v>
      </c>
      <c r="Q405" s="1" t="e">
        <v>#NUM!</v>
      </c>
      <c r="R405" s="1" t="e">
        <v>#NUM!</v>
      </c>
      <c r="T405">
        <f t="shared" si="38"/>
        <v>11</v>
      </c>
      <c r="U405">
        <f t="shared" si="39"/>
        <v>95</v>
      </c>
      <c r="W405">
        <f t="shared" si="40"/>
        <v>127</v>
      </c>
      <c r="X405">
        <f t="shared" si="41"/>
        <v>161</v>
      </c>
    </row>
    <row r="406" spans="1:24" x14ac:dyDescent="0.25">
      <c r="A406" t="str">
        <f t="shared" si="37"/>
        <v>2023_Vic_Ouyen_Lentil_SatelliteTOSTOS2VarietyBoltWaterTrtRainFed</v>
      </c>
      <c r="B406" t="s">
        <v>141</v>
      </c>
      <c r="C406" t="s">
        <v>142</v>
      </c>
      <c r="D406" t="s">
        <v>46</v>
      </c>
      <c r="E406" t="s">
        <v>58</v>
      </c>
      <c r="F406" t="s">
        <v>72</v>
      </c>
      <c r="G406" t="s">
        <v>165</v>
      </c>
      <c r="H406" t="s">
        <v>25</v>
      </c>
      <c r="J406">
        <v>2</v>
      </c>
      <c r="K406" s="1">
        <v>45093</v>
      </c>
      <c r="L406" s="1">
        <v>45104</v>
      </c>
      <c r="M406" s="1">
        <v>45177</v>
      </c>
      <c r="N406" s="1"/>
      <c r="O406" s="1">
        <v>45193</v>
      </c>
      <c r="P406" s="1">
        <v>45239</v>
      </c>
      <c r="Q406" s="1" t="e">
        <v>#NUM!</v>
      </c>
      <c r="R406" s="1" t="e">
        <v>#NUM!</v>
      </c>
      <c r="S406" t="s">
        <v>143</v>
      </c>
      <c r="T406">
        <f t="shared" si="38"/>
        <v>11</v>
      </c>
      <c r="U406">
        <f t="shared" si="39"/>
        <v>84</v>
      </c>
      <c r="W406">
        <f t="shared" si="40"/>
        <v>100</v>
      </c>
      <c r="X406">
        <f t="shared" si="41"/>
        <v>146</v>
      </c>
    </row>
    <row r="407" spans="1:24" x14ac:dyDescent="0.25">
      <c r="A407" t="str">
        <f t="shared" si="37"/>
        <v>2023_Vic_Ouyen_Lentil_SatelliteTOSTOS2VarietyHallmarkXTWaterTrtRainFed</v>
      </c>
      <c r="B407" t="s">
        <v>141</v>
      </c>
      <c r="C407" t="s">
        <v>142</v>
      </c>
      <c r="D407" t="s">
        <v>46</v>
      </c>
      <c r="E407" t="s">
        <v>58</v>
      </c>
      <c r="F407" t="s">
        <v>72</v>
      </c>
      <c r="G407" t="s">
        <v>167</v>
      </c>
      <c r="H407" t="s">
        <v>25</v>
      </c>
      <c r="J407">
        <v>2</v>
      </c>
      <c r="K407" s="1">
        <v>45093</v>
      </c>
      <c r="L407" s="1">
        <v>45104</v>
      </c>
      <c r="M407" s="1">
        <v>45177</v>
      </c>
      <c r="N407" s="1">
        <v>45184</v>
      </c>
      <c r="O407" s="1">
        <v>45193</v>
      </c>
      <c r="P407" s="1">
        <v>45239</v>
      </c>
      <c r="Q407" s="1">
        <v>45162</v>
      </c>
      <c r="R407" s="1">
        <v>45214</v>
      </c>
      <c r="S407" t="s">
        <v>143</v>
      </c>
      <c r="T407">
        <f t="shared" si="38"/>
        <v>11</v>
      </c>
      <c r="U407">
        <f t="shared" si="39"/>
        <v>84</v>
      </c>
      <c r="V407">
        <f t="shared" ref="V402:V409" si="42">N407-$K407</f>
        <v>91</v>
      </c>
      <c r="W407">
        <f t="shared" si="40"/>
        <v>100</v>
      </c>
      <c r="X407">
        <f t="shared" si="41"/>
        <v>146</v>
      </c>
    </row>
    <row r="408" spans="1:24" x14ac:dyDescent="0.25">
      <c r="A408" t="str">
        <f t="shared" si="37"/>
        <v>2023_Vic_Ouyen_Lentil_SatelliteTOSTOS2VarietyJumbo2WaterTrtRainFed</v>
      </c>
      <c r="B408" t="s">
        <v>141</v>
      </c>
      <c r="C408" t="s">
        <v>142</v>
      </c>
      <c r="D408" t="s">
        <v>46</v>
      </c>
      <c r="E408" t="s">
        <v>58</v>
      </c>
      <c r="F408" t="s">
        <v>72</v>
      </c>
      <c r="G408" t="s">
        <v>168</v>
      </c>
      <c r="H408" t="s">
        <v>25</v>
      </c>
      <c r="J408">
        <v>2</v>
      </c>
      <c r="K408" s="1">
        <v>45093</v>
      </c>
      <c r="L408" s="1">
        <v>45104</v>
      </c>
      <c r="M408" s="1">
        <v>45177</v>
      </c>
      <c r="N408" s="1"/>
      <c r="O408" s="1">
        <v>45193</v>
      </c>
      <c r="P408" s="1">
        <v>45239</v>
      </c>
      <c r="Q408" s="1" t="e">
        <v>#NUM!</v>
      </c>
      <c r="R408" s="1" t="e">
        <v>#NUM!</v>
      </c>
      <c r="S408" t="s">
        <v>143</v>
      </c>
      <c r="T408">
        <f t="shared" si="38"/>
        <v>11</v>
      </c>
      <c r="U408">
        <f t="shared" si="39"/>
        <v>84</v>
      </c>
      <c r="W408">
        <f t="shared" si="40"/>
        <v>100</v>
      </c>
      <c r="X408">
        <f t="shared" si="41"/>
        <v>146</v>
      </c>
    </row>
    <row r="409" spans="1:24" x14ac:dyDescent="0.25">
      <c r="A409" t="str">
        <f t="shared" si="37"/>
        <v>2023_Vic_Ouyen_Lentil_SatelliteTOSTOS2VarietyKelpieXTWaterTrtRainFed</v>
      </c>
      <c r="B409" t="s">
        <v>141</v>
      </c>
      <c r="C409" t="s">
        <v>142</v>
      </c>
      <c r="D409" t="s">
        <v>46</v>
      </c>
      <c r="E409" t="s">
        <v>58</v>
      </c>
      <c r="F409" t="s">
        <v>72</v>
      </c>
      <c r="G409" t="s">
        <v>169</v>
      </c>
      <c r="H409" t="s">
        <v>25</v>
      </c>
      <c r="J409">
        <v>2</v>
      </c>
      <c r="K409" s="1">
        <v>45093</v>
      </c>
      <c r="L409" s="1">
        <v>45104</v>
      </c>
      <c r="M409" s="1">
        <v>45177</v>
      </c>
      <c r="N409" s="1">
        <v>45184</v>
      </c>
      <c r="O409" s="1">
        <v>45193</v>
      </c>
      <c r="P409" s="1">
        <v>45239</v>
      </c>
      <c r="Q409" s="1">
        <v>45162</v>
      </c>
      <c r="R409" s="1">
        <v>45214</v>
      </c>
      <c r="S409" t="s">
        <v>143</v>
      </c>
      <c r="T409">
        <f t="shared" si="38"/>
        <v>11</v>
      </c>
      <c r="U409">
        <f t="shared" si="39"/>
        <v>84</v>
      </c>
      <c r="V409">
        <f t="shared" si="42"/>
        <v>91</v>
      </c>
      <c r="W409">
        <f t="shared" si="40"/>
        <v>100</v>
      </c>
      <c r="X409">
        <f t="shared" si="41"/>
        <v>146</v>
      </c>
    </row>
    <row r="410" spans="1:24" hidden="1" x14ac:dyDescent="0.25">
      <c r="B410" t="s">
        <v>144</v>
      </c>
      <c r="C410" t="s">
        <v>145</v>
      </c>
      <c r="D410" t="s">
        <v>20</v>
      </c>
      <c r="E410" t="s">
        <v>21</v>
      </c>
      <c r="F410" t="s">
        <v>22</v>
      </c>
      <c r="G410" t="s">
        <v>23</v>
      </c>
      <c r="H410" t="s">
        <v>24</v>
      </c>
      <c r="J410">
        <v>1</v>
      </c>
      <c r="K410" s="1">
        <v>45427</v>
      </c>
      <c r="L410" s="1">
        <v>45436</v>
      </c>
      <c r="M410" s="1">
        <v>45490</v>
      </c>
      <c r="N410" s="1">
        <v>45498</v>
      </c>
      <c r="O410" s="1">
        <v>45521</v>
      </c>
      <c r="P410" s="1">
        <v>45560</v>
      </c>
      <c r="Q410" s="1">
        <v>45469</v>
      </c>
      <c r="R410" s="1">
        <v>45537</v>
      </c>
    </row>
    <row r="411" spans="1:24" hidden="1" x14ac:dyDescent="0.25">
      <c r="B411" t="s">
        <v>144</v>
      </c>
      <c r="C411" t="s">
        <v>145</v>
      </c>
      <c r="D411" t="s">
        <v>20</v>
      </c>
      <c r="E411" t="s">
        <v>21</v>
      </c>
      <c r="F411" t="s">
        <v>22</v>
      </c>
      <c r="G411" t="s">
        <v>23</v>
      </c>
      <c r="H411" t="s">
        <v>24</v>
      </c>
      <c r="J411">
        <v>2</v>
      </c>
      <c r="K411" s="1">
        <v>45460</v>
      </c>
      <c r="L411" s="1">
        <v>45468</v>
      </c>
      <c r="M411" s="1">
        <v>45523</v>
      </c>
      <c r="N411" s="1">
        <v>45529</v>
      </c>
      <c r="O411" s="1">
        <v>45541</v>
      </c>
      <c r="P411" s="1">
        <v>45571</v>
      </c>
      <c r="Q411" s="1">
        <v>45507</v>
      </c>
      <c r="R411" s="1">
        <v>45563</v>
      </c>
    </row>
    <row r="412" spans="1:24" hidden="1" x14ac:dyDescent="0.25">
      <c r="B412" t="s">
        <v>144</v>
      </c>
      <c r="C412" t="s">
        <v>145</v>
      </c>
      <c r="D412" t="s">
        <v>20</v>
      </c>
      <c r="E412" t="s">
        <v>21</v>
      </c>
      <c r="F412" t="s">
        <v>22</v>
      </c>
      <c r="G412" t="s">
        <v>23</v>
      </c>
      <c r="H412" t="s">
        <v>25</v>
      </c>
      <c r="J412">
        <v>1</v>
      </c>
      <c r="K412" s="1">
        <v>45427</v>
      </c>
      <c r="L412" s="1">
        <v>45436</v>
      </c>
      <c r="M412" s="1">
        <v>45490</v>
      </c>
      <c r="N412" s="1">
        <v>45498</v>
      </c>
      <c r="O412" s="1">
        <v>45515</v>
      </c>
      <c r="P412" s="1">
        <v>45553</v>
      </c>
      <c r="Q412" s="1">
        <v>45469</v>
      </c>
      <c r="R412" s="1">
        <v>45537</v>
      </c>
    </row>
    <row r="413" spans="1:24" hidden="1" x14ac:dyDescent="0.25">
      <c r="B413" t="s">
        <v>144</v>
      </c>
      <c r="C413" t="s">
        <v>145</v>
      </c>
      <c r="D413" t="s">
        <v>20</v>
      </c>
      <c r="E413" t="s">
        <v>21</v>
      </c>
      <c r="F413" t="s">
        <v>22</v>
      </c>
      <c r="G413" t="s">
        <v>23</v>
      </c>
      <c r="H413" t="s">
        <v>25</v>
      </c>
      <c r="J413">
        <v>2</v>
      </c>
      <c r="K413" s="1">
        <v>45460</v>
      </c>
      <c r="L413" s="1">
        <v>45468</v>
      </c>
      <c r="M413" s="1">
        <v>45523</v>
      </c>
      <c r="N413" s="1">
        <v>45529</v>
      </c>
      <c r="O413" s="1">
        <v>45539</v>
      </c>
      <c r="P413" s="1">
        <v>45569</v>
      </c>
      <c r="Q413" s="1">
        <v>45507</v>
      </c>
      <c r="R413" s="1">
        <v>45563</v>
      </c>
    </row>
    <row r="414" spans="1:24" hidden="1" x14ac:dyDescent="0.25">
      <c r="B414" t="s">
        <v>144</v>
      </c>
      <c r="C414" t="s">
        <v>145</v>
      </c>
      <c r="D414" t="s">
        <v>20</v>
      </c>
      <c r="E414" t="s">
        <v>21</v>
      </c>
      <c r="F414" t="s">
        <v>22</v>
      </c>
      <c r="G414" t="s">
        <v>26</v>
      </c>
      <c r="H414" t="s">
        <v>24</v>
      </c>
      <c r="J414">
        <v>1</v>
      </c>
      <c r="K414" s="1">
        <v>45427</v>
      </c>
      <c r="L414" s="1">
        <v>45436</v>
      </c>
      <c r="M414" s="1">
        <v>45490</v>
      </c>
      <c r="N414" s="1">
        <v>45503</v>
      </c>
      <c r="O414" s="1">
        <v>45535</v>
      </c>
      <c r="P414" s="1">
        <v>45561</v>
      </c>
      <c r="Q414" s="1">
        <v>45473</v>
      </c>
      <c r="R414" s="1">
        <v>45542</v>
      </c>
    </row>
    <row r="415" spans="1:24" hidden="1" x14ac:dyDescent="0.25">
      <c r="B415" t="s">
        <v>144</v>
      </c>
      <c r="C415" t="s">
        <v>145</v>
      </c>
      <c r="D415" t="s">
        <v>20</v>
      </c>
      <c r="E415" t="s">
        <v>21</v>
      </c>
      <c r="F415" t="s">
        <v>22</v>
      </c>
      <c r="G415" t="s">
        <v>26</v>
      </c>
      <c r="H415" t="s">
        <v>24</v>
      </c>
      <c r="J415">
        <v>2</v>
      </c>
      <c r="K415" s="1">
        <v>45460</v>
      </c>
      <c r="L415" s="1">
        <v>45468</v>
      </c>
      <c r="M415" s="1">
        <v>45523</v>
      </c>
      <c r="N415" s="1">
        <v>45534</v>
      </c>
      <c r="O415" s="1">
        <v>45539</v>
      </c>
      <c r="P415" s="1">
        <v>45574</v>
      </c>
      <c r="Q415" s="1">
        <v>45514</v>
      </c>
      <c r="R415" s="1">
        <v>45568</v>
      </c>
    </row>
    <row r="416" spans="1:24" hidden="1" x14ac:dyDescent="0.25">
      <c r="B416" t="s">
        <v>144</v>
      </c>
      <c r="C416" t="s">
        <v>145</v>
      </c>
      <c r="D416" t="s">
        <v>20</v>
      </c>
      <c r="E416" t="s">
        <v>21</v>
      </c>
      <c r="F416" t="s">
        <v>22</v>
      </c>
      <c r="G416" t="s">
        <v>26</v>
      </c>
      <c r="H416" t="s">
        <v>25</v>
      </c>
      <c r="J416">
        <v>1</v>
      </c>
      <c r="K416" s="1">
        <v>45427</v>
      </c>
      <c r="L416" s="1">
        <v>45436</v>
      </c>
      <c r="M416" s="1">
        <v>45491</v>
      </c>
      <c r="N416" s="1">
        <v>45503</v>
      </c>
      <c r="O416" s="1">
        <v>45527</v>
      </c>
      <c r="P416" s="1">
        <v>45554</v>
      </c>
      <c r="Q416" s="1">
        <v>45473</v>
      </c>
      <c r="R416" s="1">
        <v>45542</v>
      </c>
    </row>
    <row r="417" spans="2:18" hidden="1" x14ac:dyDescent="0.25">
      <c r="B417" t="s">
        <v>144</v>
      </c>
      <c r="C417" t="s">
        <v>145</v>
      </c>
      <c r="D417" t="s">
        <v>20</v>
      </c>
      <c r="E417" t="s">
        <v>21</v>
      </c>
      <c r="F417" t="s">
        <v>22</v>
      </c>
      <c r="G417" t="s">
        <v>26</v>
      </c>
      <c r="H417" t="s">
        <v>25</v>
      </c>
      <c r="J417">
        <v>2</v>
      </c>
      <c r="K417" s="1">
        <v>45460</v>
      </c>
      <c r="L417" s="1">
        <v>45468</v>
      </c>
      <c r="M417" s="1">
        <v>45523</v>
      </c>
      <c r="N417" s="1">
        <v>45534</v>
      </c>
      <c r="O417" s="1">
        <v>45540</v>
      </c>
      <c r="P417" s="1">
        <v>45572</v>
      </c>
      <c r="Q417" s="1">
        <v>45514</v>
      </c>
      <c r="R417" s="1">
        <v>45568</v>
      </c>
    </row>
    <row r="418" spans="2:18" hidden="1" x14ac:dyDescent="0.25">
      <c r="B418" t="s">
        <v>144</v>
      </c>
      <c r="C418" t="s">
        <v>145</v>
      </c>
      <c r="D418" t="s">
        <v>20</v>
      </c>
      <c r="E418" t="s">
        <v>21</v>
      </c>
      <c r="F418" t="s">
        <v>22</v>
      </c>
      <c r="G418" t="s">
        <v>27</v>
      </c>
      <c r="H418" t="s">
        <v>24</v>
      </c>
      <c r="J418">
        <v>1</v>
      </c>
      <c r="K418" s="1">
        <v>45427</v>
      </c>
      <c r="L418" s="1">
        <v>45436</v>
      </c>
      <c r="M418" s="1">
        <v>45491</v>
      </c>
      <c r="N418" s="1">
        <v>45502</v>
      </c>
      <c r="O418" s="1">
        <v>45532</v>
      </c>
      <c r="P418" s="1">
        <v>45561</v>
      </c>
      <c r="Q418" s="1">
        <v>45473</v>
      </c>
      <c r="R418" s="1">
        <v>45541</v>
      </c>
    </row>
    <row r="419" spans="2:18" hidden="1" x14ac:dyDescent="0.25">
      <c r="B419" t="s">
        <v>144</v>
      </c>
      <c r="C419" t="s">
        <v>145</v>
      </c>
      <c r="D419" t="s">
        <v>20</v>
      </c>
      <c r="E419" t="s">
        <v>21</v>
      </c>
      <c r="F419" t="s">
        <v>22</v>
      </c>
      <c r="G419" t="s">
        <v>27</v>
      </c>
      <c r="H419" t="s">
        <v>24</v>
      </c>
      <c r="J419">
        <v>2</v>
      </c>
      <c r="K419" s="1">
        <v>45460</v>
      </c>
      <c r="L419" s="1">
        <v>45468</v>
      </c>
      <c r="M419" s="1">
        <v>45523</v>
      </c>
      <c r="N419" s="1">
        <v>45534</v>
      </c>
      <c r="O419" s="1">
        <v>45538</v>
      </c>
      <c r="P419" s="1">
        <v>45573</v>
      </c>
      <c r="Q419" s="1">
        <v>45514</v>
      </c>
      <c r="R419" s="1">
        <v>45568</v>
      </c>
    </row>
    <row r="420" spans="2:18" hidden="1" x14ac:dyDescent="0.25">
      <c r="B420" t="s">
        <v>144</v>
      </c>
      <c r="C420" t="s">
        <v>145</v>
      </c>
      <c r="D420" t="s">
        <v>20</v>
      </c>
      <c r="E420" t="s">
        <v>21</v>
      </c>
      <c r="F420" t="s">
        <v>22</v>
      </c>
      <c r="G420" t="s">
        <v>27</v>
      </c>
      <c r="H420" t="s">
        <v>25</v>
      </c>
      <c r="J420">
        <v>1</v>
      </c>
      <c r="K420" s="1">
        <v>45427</v>
      </c>
      <c r="L420" s="1">
        <v>45436</v>
      </c>
      <c r="M420" s="1">
        <v>45491</v>
      </c>
      <c r="N420" s="1">
        <v>45502</v>
      </c>
      <c r="O420" s="1">
        <v>45523</v>
      </c>
      <c r="P420" s="1">
        <v>45554</v>
      </c>
      <c r="Q420" s="1">
        <v>45473</v>
      </c>
      <c r="R420" s="1">
        <v>45541</v>
      </c>
    </row>
    <row r="421" spans="2:18" hidden="1" x14ac:dyDescent="0.25">
      <c r="B421" t="s">
        <v>144</v>
      </c>
      <c r="C421" t="s">
        <v>145</v>
      </c>
      <c r="D421" t="s">
        <v>20</v>
      </c>
      <c r="E421" t="s">
        <v>21</v>
      </c>
      <c r="F421" t="s">
        <v>22</v>
      </c>
      <c r="G421" t="s">
        <v>27</v>
      </c>
      <c r="H421" t="s">
        <v>25</v>
      </c>
      <c r="J421">
        <v>2</v>
      </c>
      <c r="K421" s="1">
        <v>45460</v>
      </c>
      <c r="L421" s="1">
        <v>45468</v>
      </c>
      <c r="M421" s="1">
        <v>45523</v>
      </c>
      <c r="N421" s="1">
        <v>45534</v>
      </c>
      <c r="O421" s="1">
        <v>45542</v>
      </c>
      <c r="P421" s="1">
        <v>45569</v>
      </c>
      <c r="Q421" s="1">
        <v>45514</v>
      </c>
      <c r="R421" s="1">
        <v>45568</v>
      </c>
    </row>
    <row r="422" spans="2:18" hidden="1" x14ac:dyDescent="0.25">
      <c r="B422" t="s">
        <v>144</v>
      </c>
      <c r="C422" t="s">
        <v>145</v>
      </c>
      <c r="D422" t="s">
        <v>20</v>
      </c>
      <c r="E422" t="s">
        <v>21</v>
      </c>
      <c r="F422" t="s">
        <v>22</v>
      </c>
      <c r="G422" t="s">
        <v>28</v>
      </c>
      <c r="H422" t="s">
        <v>24</v>
      </c>
      <c r="J422">
        <v>1</v>
      </c>
      <c r="K422" s="1">
        <v>45427</v>
      </c>
      <c r="L422" s="1">
        <v>45436</v>
      </c>
      <c r="M422" s="1">
        <v>45478</v>
      </c>
      <c r="N422" s="1">
        <v>45497</v>
      </c>
      <c r="O422" s="1">
        <v>45528</v>
      </c>
      <c r="P422" s="1">
        <v>45560</v>
      </c>
      <c r="Q422" s="1">
        <v>45468</v>
      </c>
      <c r="R422" s="1">
        <v>45537</v>
      </c>
    </row>
    <row r="423" spans="2:18" hidden="1" x14ac:dyDescent="0.25">
      <c r="B423" t="s">
        <v>144</v>
      </c>
      <c r="C423" t="s">
        <v>145</v>
      </c>
      <c r="D423" t="s">
        <v>20</v>
      </c>
      <c r="E423" t="s">
        <v>21</v>
      </c>
      <c r="F423" t="s">
        <v>22</v>
      </c>
      <c r="G423" t="s">
        <v>28</v>
      </c>
      <c r="H423" t="s">
        <v>24</v>
      </c>
      <c r="J423">
        <v>2</v>
      </c>
      <c r="K423" s="1">
        <v>45460</v>
      </c>
      <c r="L423" s="1">
        <v>45468</v>
      </c>
      <c r="M423" s="1">
        <v>45510</v>
      </c>
      <c r="N423" s="1">
        <v>45529</v>
      </c>
      <c r="O423" s="1">
        <v>45542</v>
      </c>
      <c r="P423" s="1">
        <v>45573</v>
      </c>
      <c r="Q423" s="1">
        <v>45507</v>
      </c>
      <c r="R423" s="1">
        <v>45563</v>
      </c>
    </row>
    <row r="424" spans="2:18" hidden="1" x14ac:dyDescent="0.25">
      <c r="B424" t="s">
        <v>144</v>
      </c>
      <c r="C424" t="s">
        <v>145</v>
      </c>
      <c r="D424" t="s">
        <v>20</v>
      </c>
      <c r="E424" t="s">
        <v>21</v>
      </c>
      <c r="F424" t="s">
        <v>22</v>
      </c>
      <c r="G424" t="s">
        <v>28</v>
      </c>
      <c r="H424" t="s">
        <v>25</v>
      </c>
      <c r="J424">
        <v>1</v>
      </c>
      <c r="K424" s="1">
        <v>45427</v>
      </c>
      <c r="L424" s="1">
        <v>45436</v>
      </c>
      <c r="M424" s="1">
        <v>45478</v>
      </c>
      <c r="N424" s="1">
        <v>45498</v>
      </c>
      <c r="O424" s="1">
        <v>45514</v>
      </c>
      <c r="P424" s="1">
        <v>45553</v>
      </c>
      <c r="Q424" s="1">
        <v>45469</v>
      </c>
      <c r="R424" s="1">
        <v>45537</v>
      </c>
    </row>
    <row r="425" spans="2:18" hidden="1" x14ac:dyDescent="0.25">
      <c r="B425" t="s">
        <v>144</v>
      </c>
      <c r="C425" t="s">
        <v>145</v>
      </c>
      <c r="D425" t="s">
        <v>20</v>
      </c>
      <c r="E425" t="s">
        <v>21</v>
      </c>
      <c r="F425" t="s">
        <v>22</v>
      </c>
      <c r="G425" t="s">
        <v>28</v>
      </c>
      <c r="H425" t="s">
        <v>25</v>
      </c>
      <c r="J425">
        <v>2</v>
      </c>
      <c r="K425" s="1">
        <v>45460</v>
      </c>
      <c r="L425" s="1">
        <v>45468</v>
      </c>
      <c r="M425" s="1">
        <v>45513</v>
      </c>
      <c r="N425" s="1">
        <v>45524</v>
      </c>
      <c r="O425" s="1">
        <v>45539</v>
      </c>
      <c r="P425" s="1">
        <v>45569</v>
      </c>
      <c r="Q425" s="1">
        <v>45498</v>
      </c>
      <c r="R425" s="1">
        <v>45558</v>
      </c>
    </row>
    <row r="426" spans="2:18" hidden="1" x14ac:dyDescent="0.25">
      <c r="B426" t="s">
        <v>146</v>
      </c>
      <c r="C426" t="s">
        <v>147</v>
      </c>
      <c r="D426" t="s">
        <v>20</v>
      </c>
      <c r="E426" t="s">
        <v>21</v>
      </c>
      <c r="F426" t="s">
        <v>31</v>
      </c>
      <c r="G426" t="s">
        <v>23</v>
      </c>
      <c r="H426" t="s">
        <v>24</v>
      </c>
      <c r="J426">
        <v>1</v>
      </c>
      <c r="K426" s="1">
        <v>45434</v>
      </c>
      <c r="L426" s="1">
        <v>45469</v>
      </c>
      <c r="M426" s="1">
        <v>45547</v>
      </c>
      <c r="N426" s="1">
        <v>45573</v>
      </c>
      <c r="O426" s="1">
        <v>45592</v>
      </c>
      <c r="P426" s="1">
        <v>45624</v>
      </c>
      <c r="Q426" s="1">
        <v>45538</v>
      </c>
      <c r="R426" s="1">
        <v>45615</v>
      </c>
    </row>
    <row r="427" spans="2:18" hidden="1" x14ac:dyDescent="0.25">
      <c r="B427" t="s">
        <v>146</v>
      </c>
      <c r="C427" t="s">
        <v>147</v>
      </c>
      <c r="D427" t="s">
        <v>20</v>
      </c>
      <c r="E427" t="s">
        <v>21</v>
      </c>
      <c r="F427" t="s">
        <v>31</v>
      </c>
      <c r="G427" t="s">
        <v>23</v>
      </c>
      <c r="H427" t="s">
        <v>24</v>
      </c>
      <c r="J427">
        <v>2</v>
      </c>
      <c r="K427" s="1">
        <v>45477</v>
      </c>
      <c r="L427" s="1">
        <v>45493</v>
      </c>
      <c r="M427" s="1">
        <v>45577</v>
      </c>
      <c r="N427" s="1">
        <v>45590</v>
      </c>
      <c r="O427" s="1">
        <v>45588</v>
      </c>
      <c r="P427" s="1">
        <v>45624</v>
      </c>
      <c r="Q427" s="1">
        <v>45563</v>
      </c>
      <c r="R427" s="1">
        <v>45627</v>
      </c>
    </row>
    <row r="428" spans="2:18" hidden="1" x14ac:dyDescent="0.25">
      <c r="B428" t="s">
        <v>146</v>
      </c>
      <c r="C428" t="s">
        <v>147</v>
      </c>
      <c r="D428" t="s">
        <v>20</v>
      </c>
      <c r="E428" t="s">
        <v>21</v>
      </c>
      <c r="F428" t="s">
        <v>31</v>
      </c>
      <c r="G428" t="s">
        <v>23</v>
      </c>
      <c r="H428" t="s">
        <v>25</v>
      </c>
      <c r="J428">
        <v>1</v>
      </c>
      <c r="K428" s="1">
        <v>45434</v>
      </c>
      <c r="L428" s="1">
        <v>45469</v>
      </c>
      <c r="M428" s="1">
        <v>45547</v>
      </c>
      <c r="N428" s="1">
        <v>45570</v>
      </c>
      <c r="O428" s="1">
        <v>45591</v>
      </c>
      <c r="P428" s="1">
        <v>45624</v>
      </c>
      <c r="Q428" s="1">
        <v>45535</v>
      </c>
      <c r="R428" s="1">
        <v>45613</v>
      </c>
    </row>
    <row r="429" spans="2:18" hidden="1" x14ac:dyDescent="0.25">
      <c r="B429" t="s">
        <v>146</v>
      </c>
      <c r="C429" t="s">
        <v>147</v>
      </c>
      <c r="D429" t="s">
        <v>20</v>
      </c>
      <c r="E429" t="s">
        <v>21</v>
      </c>
      <c r="F429" t="s">
        <v>31</v>
      </c>
      <c r="G429" t="s">
        <v>23</v>
      </c>
      <c r="H429" t="s">
        <v>25</v>
      </c>
      <c r="J429">
        <v>2</v>
      </c>
      <c r="K429" s="1">
        <v>45477</v>
      </c>
      <c r="L429" s="1">
        <v>45493</v>
      </c>
      <c r="M429" s="1">
        <v>45573</v>
      </c>
      <c r="N429" s="1">
        <v>45579</v>
      </c>
      <c r="O429" s="1">
        <v>45588</v>
      </c>
      <c r="P429" s="1">
        <v>45624</v>
      </c>
      <c r="Q429" s="1">
        <v>45545</v>
      </c>
      <c r="R429" s="1">
        <v>45619</v>
      </c>
    </row>
    <row r="430" spans="2:18" hidden="1" x14ac:dyDescent="0.25">
      <c r="B430" t="s">
        <v>146</v>
      </c>
      <c r="C430" t="s">
        <v>147</v>
      </c>
      <c r="D430" t="s">
        <v>20</v>
      </c>
      <c r="E430" t="s">
        <v>21</v>
      </c>
      <c r="F430" t="s">
        <v>31</v>
      </c>
      <c r="G430" t="s">
        <v>26</v>
      </c>
      <c r="H430" t="s">
        <v>24</v>
      </c>
      <c r="J430">
        <v>1</v>
      </c>
      <c r="K430" s="1">
        <v>45434</v>
      </c>
      <c r="L430" s="1">
        <v>45469</v>
      </c>
      <c r="M430" s="1">
        <v>45553</v>
      </c>
      <c r="N430" s="1">
        <v>45573</v>
      </c>
      <c r="O430" s="1">
        <v>45592</v>
      </c>
      <c r="P430" s="1">
        <v>45625</v>
      </c>
      <c r="Q430" s="1">
        <v>45538</v>
      </c>
      <c r="R430" s="1">
        <v>45615</v>
      </c>
    </row>
    <row r="431" spans="2:18" hidden="1" x14ac:dyDescent="0.25">
      <c r="B431" t="s">
        <v>146</v>
      </c>
      <c r="C431" t="s">
        <v>147</v>
      </c>
      <c r="D431" t="s">
        <v>20</v>
      </c>
      <c r="E431" t="s">
        <v>21</v>
      </c>
      <c r="F431" t="s">
        <v>31</v>
      </c>
      <c r="G431" t="s">
        <v>26</v>
      </c>
      <c r="H431" t="s">
        <v>24</v>
      </c>
      <c r="J431">
        <v>2</v>
      </c>
      <c r="K431" s="1">
        <v>45477</v>
      </c>
      <c r="L431" s="1">
        <v>45493</v>
      </c>
      <c r="M431" s="1">
        <v>45568</v>
      </c>
      <c r="N431" s="1">
        <v>45591</v>
      </c>
      <c r="O431" s="1">
        <v>45595</v>
      </c>
      <c r="P431" s="1">
        <v>45624</v>
      </c>
      <c r="Q431" s="1">
        <v>45564</v>
      </c>
      <c r="R431" s="1">
        <v>45628</v>
      </c>
    </row>
    <row r="432" spans="2:18" hidden="1" x14ac:dyDescent="0.25">
      <c r="B432" t="s">
        <v>146</v>
      </c>
      <c r="C432" t="s">
        <v>147</v>
      </c>
      <c r="D432" t="s">
        <v>20</v>
      </c>
      <c r="E432" t="s">
        <v>21</v>
      </c>
      <c r="F432" t="s">
        <v>31</v>
      </c>
      <c r="G432" t="s">
        <v>26</v>
      </c>
      <c r="H432" t="s">
        <v>25</v>
      </c>
      <c r="J432">
        <v>1</v>
      </c>
      <c r="K432" s="1">
        <v>45434</v>
      </c>
      <c r="L432" s="1">
        <v>45469</v>
      </c>
      <c r="M432" s="1">
        <v>45553</v>
      </c>
      <c r="N432" s="1">
        <v>45573</v>
      </c>
      <c r="O432" s="1">
        <v>45591</v>
      </c>
      <c r="P432" s="1">
        <v>45624</v>
      </c>
      <c r="Q432" s="1">
        <v>45538</v>
      </c>
      <c r="R432" s="1">
        <v>45615</v>
      </c>
    </row>
    <row r="433" spans="2:18" hidden="1" x14ac:dyDescent="0.25">
      <c r="B433" t="s">
        <v>146</v>
      </c>
      <c r="C433" t="s">
        <v>147</v>
      </c>
      <c r="D433" t="s">
        <v>20</v>
      </c>
      <c r="E433" t="s">
        <v>21</v>
      </c>
      <c r="F433" t="s">
        <v>31</v>
      </c>
      <c r="G433" t="s">
        <v>26</v>
      </c>
      <c r="H433" t="s">
        <v>25</v>
      </c>
      <c r="J433">
        <v>2</v>
      </c>
      <c r="K433" s="1">
        <v>45477</v>
      </c>
      <c r="L433" s="1">
        <v>45493</v>
      </c>
      <c r="M433" s="1">
        <v>45557</v>
      </c>
      <c r="N433" s="1">
        <v>45577</v>
      </c>
      <c r="O433" s="1">
        <v>45591</v>
      </c>
      <c r="P433" s="1">
        <v>45625</v>
      </c>
      <c r="Q433" s="1">
        <v>45541</v>
      </c>
      <c r="R433" s="1">
        <v>45617</v>
      </c>
    </row>
    <row r="434" spans="2:18" hidden="1" x14ac:dyDescent="0.25">
      <c r="B434" t="s">
        <v>146</v>
      </c>
      <c r="C434" t="s">
        <v>147</v>
      </c>
      <c r="D434" t="s">
        <v>20</v>
      </c>
      <c r="E434" t="s">
        <v>21</v>
      </c>
      <c r="F434" t="s">
        <v>31</v>
      </c>
      <c r="G434" t="s">
        <v>27</v>
      </c>
      <c r="H434" t="s">
        <v>24</v>
      </c>
      <c r="J434">
        <v>1</v>
      </c>
      <c r="K434" s="1">
        <v>45434</v>
      </c>
      <c r="L434" s="1">
        <v>45470</v>
      </c>
      <c r="M434" s="1">
        <v>45553</v>
      </c>
      <c r="N434" s="1">
        <v>45577</v>
      </c>
      <c r="O434" s="1">
        <v>45595</v>
      </c>
      <c r="P434" s="1">
        <v>45626</v>
      </c>
      <c r="Q434" s="1">
        <v>45541</v>
      </c>
      <c r="R434" s="1">
        <v>45617</v>
      </c>
    </row>
    <row r="435" spans="2:18" hidden="1" x14ac:dyDescent="0.25">
      <c r="B435" t="s">
        <v>146</v>
      </c>
      <c r="C435" t="s">
        <v>147</v>
      </c>
      <c r="D435" t="s">
        <v>20</v>
      </c>
      <c r="E435" t="s">
        <v>21</v>
      </c>
      <c r="F435" t="s">
        <v>31</v>
      </c>
      <c r="G435" t="s">
        <v>27</v>
      </c>
      <c r="H435" t="s">
        <v>24</v>
      </c>
      <c r="J435">
        <v>2</v>
      </c>
      <c r="K435" s="1">
        <v>45477</v>
      </c>
      <c r="L435" s="1">
        <v>45493</v>
      </c>
      <c r="M435" s="1">
        <v>45573</v>
      </c>
      <c r="N435" s="1">
        <v>45591</v>
      </c>
      <c r="O435" s="1">
        <v>45599</v>
      </c>
      <c r="P435" s="1">
        <v>45630</v>
      </c>
      <c r="Q435" s="1">
        <v>45564</v>
      </c>
      <c r="R435" s="1">
        <v>45628</v>
      </c>
    </row>
    <row r="436" spans="2:18" hidden="1" x14ac:dyDescent="0.25">
      <c r="B436" t="s">
        <v>146</v>
      </c>
      <c r="C436" t="s">
        <v>147</v>
      </c>
      <c r="D436" t="s">
        <v>20</v>
      </c>
      <c r="E436" t="s">
        <v>21</v>
      </c>
      <c r="F436" t="s">
        <v>31</v>
      </c>
      <c r="G436" t="s">
        <v>27</v>
      </c>
      <c r="H436" t="s">
        <v>25</v>
      </c>
      <c r="J436">
        <v>1</v>
      </c>
      <c r="K436" s="1">
        <v>45434</v>
      </c>
      <c r="L436" s="1">
        <v>45469</v>
      </c>
      <c r="M436" s="1">
        <v>45553</v>
      </c>
      <c r="N436" s="1">
        <v>45573</v>
      </c>
      <c r="O436" s="1">
        <v>45592</v>
      </c>
      <c r="P436" s="1">
        <v>45624</v>
      </c>
      <c r="Q436" s="1">
        <v>45538</v>
      </c>
      <c r="R436" s="1">
        <v>45615</v>
      </c>
    </row>
    <row r="437" spans="2:18" hidden="1" x14ac:dyDescent="0.25">
      <c r="B437" t="s">
        <v>146</v>
      </c>
      <c r="C437" t="s">
        <v>147</v>
      </c>
      <c r="D437" t="s">
        <v>20</v>
      </c>
      <c r="E437" t="s">
        <v>21</v>
      </c>
      <c r="F437" t="s">
        <v>31</v>
      </c>
      <c r="G437" t="s">
        <v>27</v>
      </c>
      <c r="H437" t="s">
        <v>25</v>
      </c>
      <c r="J437">
        <v>2</v>
      </c>
      <c r="K437" s="1">
        <v>45477</v>
      </c>
      <c r="L437" s="1">
        <v>45493</v>
      </c>
      <c r="M437" s="1">
        <v>45568</v>
      </c>
      <c r="N437" s="1">
        <v>45584</v>
      </c>
      <c r="O437" s="1">
        <v>45595</v>
      </c>
      <c r="P437" s="1">
        <v>45624</v>
      </c>
      <c r="Q437" s="1">
        <v>45556</v>
      </c>
      <c r="R437" s="1">
        <v>45623</v>
      </c>
    </row>
    <row r="438" spans="2:18" hidden="1" x14ac:dyDescent="0.25">
      <c r="B438" t="s">
        <v>146</v>
      </c>
      <c r="C438" t="s">
        <v>147</v>
      </c>
      <c r="D438" t="s">
        <v>20</v>
      </c>
      <c r="E438" t="s">
        <v>21</v>
      </c>
      <c r="F438" t="s">
        <v>31</v>
      </c>
      <c r="G438" t="s">
        <v>28</v>
      </c>
      <c r="H438" t="s">
        <v>24</v>
      </c>
      <c r="J438">
        <v>1</v>
      </c>
      <c r="K438" s="1">
        <v>45434</v>
      </c>
      <c r="L438" s="1">
        <v>45469</v>
      </c>
      <c r="M438" s="1">
        <v>45537</v>
      </c>
      <c r="N438" s="1">
        <v>45573</v>
      </c>
      <c r="O438" s="1">
        <v>45591</v>
      </c>
      <c r="P438" s="1">
        <v>45624</v>
      </c>
      <c r="Q438" s="1">
        <v>45538</v>
      </c>
      <c r="R438" s="1">
        <v>45615</v>
      </c>
    </row>
    <row r="439" spans="2:18" hidden="1" x14ac:dyDescent="0.25">
      <c r="B439" t="s">
        <v>146</v>
      </c>
      <c r="C439" t="s">
        <v>147</v>
      </c>
      <c r="D439" t="s">
        <v>20</v>
      </c>
      <c r="E439" t="s">
        <v>21</v>
      </c>
      <c r="F439" t="s">
        <v>31</v>
      </c>
      <c r="G439" t="s">
        <v>28</v>
      </c>
      <c r="H439" t="s">
        <v>24</v>
      </c>
      <c r="J439">
        <v>2</v>
      </c>
      <c r="K439" s="1">
        <v>45477</v>
      </c>
      <c r="L439" s="1">
        <v>45493</v>
      </c>
      <c r="M439" s="1">
        <v>45555</v>
      </c>
      <c r="N439" s="1">
        <v>45579</v>
      </c>
      <c r="O439" s="1">
        <v>45588</v>
      </c>
      <c r="P439" s="1">
        <v>45624</v>
      </c>
      <c r="Q439" s="1">
        <v>45545</v>
      </c>
      <c r="R439" s="1">
        <v>45619</v>
      </c>
    </row>
    <row r="440" spans="2:18" hidden="1" x14ac:dyDescent="0.25">
      <c r="B440" t="s">
        <v>146</v>
      </c>
      <c r="C440" t="s">
        <v>147</v>
      </c>
      <c r="D440" t="s">
        <v>20</v>
      </c>
      <c r="E440" t="s">
        <v>21</v>
      </c>
      <c r="F440" t="s">
        <v>31</v>
      </c>
      <c r="G440" t="s">
        <v>28</v>
      </c>
      <c r="H440" t="s">
        <v>25</v>
      </c>
      <c r="J440">
        <v>1</v>
      </c>
      <c r="K440" s="1">
        <v>45434</v>
      </c>
      <c r="L440" s="1">
        <v>45469</v>
      </c>
      <c r="M440" s="1">
        <v>45545</v>
      </c>
      <c r="N440" s="1">
        <v>45573</v>
      </c>
      <c r="O440" s="1">
        <v>45591</v>
      </c>
      <c r="P440" s="1">
        <v>45624</v>
      </c>
      <c r="Q440" s="1">
        <v>45538</v>
      </c>
      <c r="R440" s="1">
        <v>45615</v>
      </c>
    </row>
    <row r="441" spans="2:18" hidden="1" x14ac:dyDescent="0.25">
      <c r="B441" t="s">
        <v>146</v>
      </c>
      <c r="C441" t="s">
        <v>147</v>
      </c>
      <c r="D441" t="s">
        <v>20</v>
      </c>
      <c r="E441" t="s">
        <v>21</v>
      </c>
      <c r="F441" t="s">
        <v>31</v>
      </c>
      <c r="G441" t="s">
        <v>28</v>
      </c>
      <c r="H441" t="s">
        <v>25</v>
      </c>
      <c r="J441">
        <v>2</v>
      </c>
      <c r="K441" s="1">
        <v>45477</v>
      </c>
      <c r="L441" s="1">
        <v>45493</v>
      </c>
      <c r="M441" s="1">
        <v>45555</v>
      </c>
      <c r="N441" s="1">
        <v>45573</v>
      </c>
      <c r="O441" s="1">
        <v>45588</v>
      </c>
      <c r="P441" s="1">
        <v>45624</v>
      </c>
      <c r="Q441" s="1">
        <v>45538</v>
      </c>
      <c r="R441" s="1">
        <v>45615</v>
      </c>
    </row>
    <row r="442" spans="2:18" hidden="1" x14ac:dyDescent="0.25">
      <c r="B442" t="s">
        <v>148</v>
      </c>
      <c r="C442" t="s">
        <v>149</v>
      </c>
      <c r="D442" t="s">
        <v>38</v>
      </c>
      <c r="E442" t="s">
        <v>21</v>
      </c>
      <c r="F442" t="s">
        <v>31</v>
      </c>
      <c r="G442" t="s">
        <v>40</v>
      </c>
      <c r="H442" t="s">
        <v>24</v>
      </c>
      <c r="J442">
        <v>1</v>
      </c>
      <c r="K442" s="1">
        <v>45436</v>
      </c>
      <c r="L442" s="1">
        <v>45469</v>
      </c>
      <c r="M442" s="1">
        <v>45526</v>
      </c>
      <c r="N442" s="1">
        <v>45541</v>
      </c>
      <c r="O442" s="1">
        <v>45568</v>
      </c>
      <c r="P442" s="1">
        <v>45610</v>
      </c>
      <c r="Q442" s="1">
        <v>45519</v>
      </c>
      <c r="R442" s="1">
        <v>45580</v>
      </c>
    </row>
    <row r="443" spans="2:18" hidden="1" x14ac:dyDescent="0.25">
      <c r="B443" t="s">
        <v>148</v>
      </c>
      <c r="C443" t="s">
        <v>149</v>
      </c>
      <c r="D443" t="s">
        <v>38</v>
      </c>
      <c r="E443" t="s">
        <v>21</v>
      </c>
      <c r="F443" t="s">
        <v>31</v>
      </c>
      <c r="G443" t="s">
        <v>40</v>
      </c>
      <c r="H443" t="s">
        <v>24</v>
      </c>
      <c r="J443">
        <v>2</v>
      </c>
      <c r="K443" s="1">
        <v>45477</v>
      </c>
      <c r="L443" s="1">
        <v>45510</v>
      </c>
      <c r="M443" s="1">
        <v>45550</v>
      </c>
      <c r="N443" s="1">
        <v>45561</v>
      </c>
      <c r="O443" s="1">
        <v>45590</v>
      </c>
      <c r="P443" s="1">
        <v>45624</v>
      </c>
      <c r="Q443" s="1">
        <v>45536</v>
      </c>
      <c r="R443" s="1">
        <v>45594</v>
      </c>
    </row>
    <row r="444" spans="2:18" hidden="1" x14ac:dyDescent="0.25">
      <c r="B444" t="s">
        <v>148</v>
      </c>
      <c r="C444" t="s">
        <v>149</v>
      </c>
      <c r="D444" t="s">
        <v>38</v>
      </c>
      <c r="E444" t="s">
        <v>21</v>
      </c>
      <c r="F444" t="s">
        <v>31</v>
      </c>
      <c r="G444" t="s">
        <v>40</v>
      </c>
      <c r="H444" t="s">
        <v>25</v>
      </c>
      <c r="J444">
        <v>1</v>
      </c>
      <c r="K444" s="1">
        <v>45436</v>
      </c>
      <c r="L444" s="1">
        <v>45469</v>
      </c>
      <c r="M444" s="1">
        <v>45526</v>
      </c>
      <c r="N444" s="1">
        <v>45541</v>
      </c>
      <c r="O444" s="1">
        <v>45572</v>
      </c>
      <c r="P444" s="1">
        <v>45604</v>
      </c>
      <c r="Q444" s="1">
        <v>45519</v>
      </c>
      <c r="R444" s="1">
        <v>45580</v>
      </c>
    </row>
    <row r="445" spans="2:18" hidden="1" x14ac:dyDescent="0.25">
      <c r="B445" t="s">
        <v>148</v>
      </c>
      <c r="C445" t="s">
        <v>149</v>
      </c>
      <c r="D445" t="s">
        <v>38</v>
      </c>
      <c r="E445" t="s">
        <v>21</v>
      </c>
      <c r="F445" t="s">
        <v>31</v>
      </c>
      <c r="G445" t="s">
        <v>40</v>
      </c>
      <c r="H445" t="s">
        <v>25</v>
      </c>
      <c r="J445">
        <v>2</v>
      </c>
      <c r="K445" s="1">
        <v>45477</v>
      </c>
      <c r="L445" s="1">
        <v>45510</v>
      </c>
      <c r="M445" s="1">
        <v>45548</v>
      </c>
      <c r="N445" s="1">
        <v>45557</v>
      </c>
      <c r="O445" s="1">
        <v>45590</v>
      </c>
      <c r="P445" s="1">
        <v>45618</v>
      </c>
      <c r="Q445" s="1">
        <v>45532</v>
      </c>
      <c r="R445" s="1">
        <v>45591</v>
      </c>
    </row>
    <row r="446" spans="2:18" hidden="1" x14ac:dyDescent="0.25">
      <c r="B446" t="s">
        <v>148</v>
      </c>
      <c r="C446" t="s">
        <v>149</v>
      </c>
      <c r="D446" t="s">
        <v>38</v>
      </c>
      <c r="E446" t="s">
        <v>21</v>
      </c>
      <c r="F446" t="s">
        <v>31</v>
      </c>
      <c r="G446" t="s">
        <v>41</v>
      </c>
      <c r="H446" t="s">
        <v>24</v>
      </c>
      <c r="J446">
        <v>1</v>
      </c>
      <c r="K446" s="1">
        <v>45436</v>
      </c>
      <c r="L446" s="1">
        <v>45469</v>
      </c>
      <c r="M446" s="1">
        <v>45526</v>
      </c>
      <c r="N446" s="1">
        <v>45542</v>
      </c>
      <c r="O446" s="1">
        <v>45568</v>
      </c>
      <c r="P446" s="1">
        <v>45610</v>
      </c>
      <c r="Q446" s="1">
        <v>45520</v>
      </c>
      <c r="R446" s="1">
        <v>45581</v>
      </c>
    </row>
    <row r="447" spans="2:18" hidden="1" x14ac:dyDescent="0.25">
      <c r="B447" t="s">
        <v>148</v>
      </c>
      <c r="C447" t="s">
        <v>149</v>
      </c>
      <c r="D447" t="s">
        <v>38</v>
      </c>
      <c r="E447" t="s">
        <v>21</v>
      </c>
      <c r="F447" t="s">
        <v>31</v>
      </c>
      <c r="G447" t="s">
        <v>41</v>
      </c>
      <c r="H447" t="s">
        <v>24</v>
      </c>
      <c r="J447">
        <v>2</v>
      </c>
      <c r="K447" s="1">
        <v>45477</v>
      </c>
      <c r="L447" s="1">
        <v>45510</v>
      </c>
      <c r="M447" s="1">
        <v>45548</v>
      </c>
      <c r="N447" s="1">
        <v>45556</v>
      </c>
      <c r="O447" s="1">
        <v>45590</v>
      </c>
      <c r="P447" s="1">
        <v>45624</v>
      </c>
      <c r="Q447" s="1">
        <v>45531</v>
      </c>
      <c r="R447" s="1">
        <v>45590</v>
      </c>
    </row>
    <row r="448" spans="2:18" hidden="1" x14ac:dyDescent="0.25">
      <c r="B448" t="s">
        <v>148</v>
      </c>
      <c r="C448" t="s">
        <v>149</v>
      </c>
      <c r="D448" t="s">
        <v>38</v>
      </c>
      <c r="E448" t="s">
        <v>21</v>
      </c>
      <c r="F448" t="s">
        <v>31</v>
      </c>
      <c r="G448" t="s">
        <v>41</v>
      </c>
      <c r="H448" t="s">
        <v>25</v>
      </c>
      <c r="J448">
        <v>1</v>
      </c>
      <c r="K448" s="1">
        <v>45436</v>
      </c>
      <c r="L448" s="1">
        <v>45469</v>
      </c>
      <c r="M448" s="1">
        <v>45526</v>
      </c>
      <c r="N448" s="1">
        <v>45541</v>
      </c>
      <c r="O448" s="1">
        <v>45567</v>
      </c>
      <c r="P448" s="1">
        <v>45975</v>
      </c>
      <c r="Q448" s="1">
        <v>45519</v>
      </c>
      <c r="R448" s="1">
        <v>45580</v>
      </c>
    </row>
    <row r="449" spans="2:18" hidden="1" x14ac:dyDescent="0.25">
      <c r="B449" t="s">
        <v>148</v>
      </c>
      <c r="C449" t="s">
        <v>149</v>
      </c>
      <c r="D449" t="s">
        <v>38</v>
      </c>
      <c r="E449" t="s">
        <v>21</v>
      </c>
      <c r="F449" t="s">
        <v>31</v>
      </c>
      <c r="G449" t="s">
        <v>41</v>
      </c>
      <c r="H449" t="s">
        <v>25</v>
      </c>
      <c r="J449">
        <v>2</v>
      </c>
      <c r="K449" s="1">
        <v>45477</v>
      </c>
      <c r="L449" s="1">
        <v>45510</v>
      </c>
      <c r="M449" s="1">
        <v>45548</v>
      </c>
      <c r="N449" s="1">
        <v>45556</v>
      </c>
      <c r="O449" s="1">
        <v>45590</v>
      </c>
      <c r="P449" s="1">
        <v>45618</v>
      </c>
      <c r="Q449" s="1">
        <v>45531</v>
      </c>
      <c r="R449" s="1">
        <v>45590</v>
      </c>
    </row>
    <row r="450" spans="2:18" hidden="1" x14ac:dyDescent="0.25">
      <c r="B450" t="s">
        <v>148</v>
      </c>
      <c r="C450" t="s">
        <v>149</v>
      </c>
      <c r="D450" t="s">
        <v>38</v>
      </c>
      <c r="E450" t="s">
        <v>21</v>
      </c>
      <c r="F450" t="s">
        <v>31</v>
      </c>
      <c r="G450" t="s">
        <v>42</v>
      </c>
      <c r="H450" t="s">
        <v>24</v>
      </c>
      <c r="J450">
        <v>1</v>
      </c>
      <c r="K450" s="1">
        <v>45436</v>
      </c>
      <c r="L450" s="1">
        <v>45469</v>
      </c>
      <c r="M450" s="1">
        <v>45526</v>
      </c>
      <c r="N450" s="1">
        <v>45538</v>
      </c>
      <c r="O450" s="1">
        <v>45567</v>
      </c>
      <c r="P450" s="1">
        <v>45604</v>
      </c>
      <c r="Q450" s="1">
        <v>45516</v>
      </c>
      <c r="R450" s="1">
        <v>45578</v>
      </c>
    </row>
    <row r="451" spans="2:18" hidden="1" x14ac:dyDescent="0.25">
      <c r="B451" t="s">
        <v>148</v>
      </c>
      <c r="C451" t="s">
        <v>149</v>
      </c>
      <c r="D451" t="s">
        <v>38</v>
      </c>
      <c r="E451" t="s">
        <v>21</v>
      </c>
      <c r="F451" t="s">
        <v>31</v>
      </c>
      <c r="G451" t="s">
        <v>42</v>
      </c>
      <c r="H451" t="s">
        <v>24</v>
      </c>
      <c r="J451">
        <v>2</v>
      </c>
      <c r="K451" s="1">
        <v>45477</v>
      </c>
      <c r="L451" s="1">
        <v>45510</v>
      </c>
      <c r="M451" s="1">
        <v>45548</v>
      </c>
      <c r="N451" s="1">
        <v>45556</v>
      </c>
      <c r="O451" s="1">
        <v>45589</v>
      </c>
      <c r="P451" s="1">
        <v>45604</v>
      </c>
      <c r="Q451" s="1">
        <v>45531</v>
      </c>
      <c r="R451" s="1">
        <v>45590</v>
      </c>
    </row>
    <row r="452" spans="2:18" hidden="1" x14ac:dyDescent="0.25">
      <c r="B452" t="s">
        <v>148</v>
      </c>
      <c r="C452" t="s">
        <v>149</v>
      </c>
      <c r="D452" t="s">
        <v>38</v>
      </c>
      <c r="E452" t="s">
        <v>21</v>
      </c>
      <c r="F452" t="s">
        <v>31</v>
      </c>
      <c r="G452" t="s">
        <v>42</v>
      </c>
      <c r="H452" t="s">
        <v>25</v>
      </c>
      <c r="J452">
        <v>1</v>
      </c>
      <c r="K452" s="1">
        <v>45436</v>
      </c>
      <c r="L452" s="1">
        <v>45469</v>
      </c>
      <c r="M452" s="1">
        <v>45526</v>
      </c>
      <c r="N452" s="1">
        <v>45538</v>
      </c>
      <c r="O452" s="1">
        <v>45567</v>
      </c>
      <c r="P452" s="1">
        <v>45604</v>
      </c>
      <c r="Q452" s="1">
        <v>45516</v>
      </c>
      <c r="R452" s="1">
        <v>45578</v>
      </c>
    </row>
    <row r="453" spans="2:18" hidden="1" x14ac:dyDescent="0.25">
      <c r="B453" t="s">
        <v>148</v>
      </c>
      <c r="C453" t="s">
        <v>149</v>
      </c>
      <c r="D453" t="s">
        <v>38</v>
      </c>
      <c r="E453" t="s">
        <v>21</v>
      </c>
      <c r="F453" t="s">
        <v>31</v>
      </c>
      <c r="G453" t="s">
        <v>42</v>
      </c>
      <c r="H453" t="s">
        <v>25</v>
      </c>
      <c r="J453">
        <v>2</v>
      </c>
      <c r="K453" s="1">
        <v>45477</v>
      </c>
      <c r="L453" s="1">
        <v>45510</v>
      </c>
      <c r="M453" s="1">
        <v>45548</v>
      </c>
      <c r="N453" s="1">
        <v>45554</v>
      </c>
      <c r="O453" s="1">
        <v>45589</v>
      </c>
      <c r="P453" s="1">
        <v>45604</v>
      </c>
      <c r="Q453" s="1">
        <v>45529</v>
      </c>
      <c r="R453" s="1">
        <v>45588</v>
      </c>
    </row>
    <row r="454" spans="2:18" hidden="1" x14ac:dyDescent="0.25">
      <c r="B454" t="s">
        <v>148</v>
      </c>
      <c r="C454" t="s">
        <v>149</v>
      </c>
      <c r="D454" t="s">
        <v>38</v>
      </c>
      <c r="E454" t="s">
        <v>21</v>
      </c>
      <c r="F454" t="s">
        <v>31</v>
      </c>
      <c r="G454" t="s">
        <v>43</v>
      </c>
      <c r="H454" t="s">
        <v>24</v>
      </c>
      <c r="J454">
        <v>1</v>
      </c>
      <c r="K454" s="1">
        <v>45436</v>
      </c>
      <c r="L454" s="1">
        <v>45469</v>
      </c>
      <c r="M454" s="1">
        <v>45526</v>
      </c>
      <c r="N454" s="1">
        <v>45541</v>
      </c>
      <c r="O454" s="1">
        <v>45567</v>
      </c>
      <c r="P454" s="1">
        <v>45604</v>
      </c>
      <c r="Q454" s="1">
        <v>45519</v>
      </c>
      <c r="R454" s="1">
        <v>45580</v>
      </c>
    </row>
    <row r="455" spans="2:18" hidden="1" x14ac:dyDescent="0.25">
      <c r="B455" t="s">
        <v>148</v>
      </c>
      <c r="C455" t="s">
        <v>149</v>
      </c>
      <c r="D455" t="s">
        <v>38</v>
      </c>
      <c r="E455" t="s">
        <v>21</v>
      </c>
      <c r="F455" t="s">
        <v>31</v>
      </c>
      <c r="G455" t="s">
        <v>43</v>
      </c>
      <c r="H455" t="s">
        <v>24</v>
      </c>
      <c r="J455">
        <v>2</v>
      </c>
      <c r="K455" s="1">
        <v>45477</v>
      </c>
      <c r="L455" s="1">
        <v>45510</v>
      </c>
      <c r="M455" s="1">
        <v>45552</v>
      </c>
      <c r="N455" s="1">
        <v>45558</v>
      </c>
      <c r="O455" s="1">
        <v>45590</v>
      </c>
      <c r="P455" s="1">
        <v>45610</v>
      </c>
      <c r="Q455" s="1">
        <v>45533</v>
      </c>
      <c r="R455" s="1">
        <v>45592</v>
      </c>
    </row>
    <row r="456" spans="2:18" hidden="1" x14ac:dyDescent="0.25">
      <c r="B456" t="s">
        <v>148</v>
      </c>
      <c r="C456" t="s">
        <v>149</v>
      </c>
      <c r="D456" t="s">
        <v>38</v>
      </c>
      <c r="E456" t="s">
        <v>21</v>
      </c>
      <c r="F456" t="s">
        <v>31</v>
      </c>
      <c r="G456" t="s">
        <v>43</v>
      </c>
      <c r="H456" t="s">
        <v>25</v>
      </c>
      <c r="J456">
        <v>1</v>
      </c>
      <c r="K456" s="1">
        <v>45436</v>
      </c>
      <c r="L456" s="1">
        <v>45469</v>
      </c>
      <c r="M456" s="1">
        <v>45526</v>
      </c>
      <c r="N456" s="1">
        <v>45541</v>
      </c>
      <c r="O456" s="1">
        <v>45568</v>
      </c>
      <c r="P456" s="1">
        <v>45604</v>
      </c>
      <c r="Q456" s="1">
        <v>45519</v>
      </c>
      <c r="R456" s="1">
        <v>45580</v>
      </c>
    </row>
    <row r="457" spans="2:18" hidden="1" x14ac:dyDescent="0.25">
      <c r="B457" t="s">
        <v>148</v>
      </c>
      <c r="C457" t="s">
        <v>149</v>
      </c>
      <c r="D457" t="s">
        <v>38</v>
      </c>
      <c r="E457" t="s">
        <v>21</v>
      </c>
      <c r="F457" t="s">
        <v>31</v>
      </c>
      <c r="G457" t="s">
        <v>43</v>
      </c>
      <c r="H457" t="s">
        <v>25</v>
      </c>
      <c r="J457">
        <v>2</v>
      </c>
      <c r="K457" s="1">
        <v>45477</v>
      </c>
      <c r="L457" s="1">
        <v>45510</v>
      </c>
      <c r="M457" s="1">
        <v>45548</v>
      </c>
      <c r="N457" s="1">
        <v>45561</v>
      </c>
      <c r="O457" s="1">
        <v>45589</v>
      </c>
      <c r="P457" s="1">
        <v>45610</v>
      </c>
      <c r="Q457" s="1">
        <v>45536</v>
      </c>
      <c r="R457" s="1">
        <v>45594</v>
      </c>
    </row>
    <row r="458" spans="2:18" hidden="1" x14ac:dyDescent="0.25">
      <c r="B458" t="s">
        <v>150</v>
      </c>
      <c r="C458" t="s">
        <v>151</v>
      </c>
      <c r="D458" t="s">
        <v>20</v>
      </c>
      <c r="E458" t="s">
        <v>21</v>
      </c>
      <c r="F458" t="s">
        <v>152</v>
      </c>
      <c r="G458" t="s">
        <v>23</v>
      </c>
      <c r="H458" t="s">
        <v>24</v>
      </c>
      <c r="J458">
        <v>1</v>
      </c>
      <c r="K458" s="1">
        <v>45434</v>
      </c>
      <c r="L458" s="1">
        <v>45443</v>
      </c>
      <c r="M458" s="1">
        <v>45515</v>
      </c>
      <c r="N458" s="1">
        <v>45534</v>
      </c>
      <c r="O458" s="1">
        <v>45554</v>
      </c>
      <c r="P458" s="1">
        <v>45595</v>
      </c>
      <c r="Q458" s="1">
        <v>45503</v>
      </c>
      <c r="R458" s="1">
        <v>45577</v>
      </c>
    </row>
    <row r="459" spans="2:18" hidden="1" x14ac:dyDescent="0.25">
      <c r="B459" t="s">
        <v>150</v>
      </c>
      <c r="C459" t="s">
        <v>151</v>
      </c>
      <c r="D459" t="s">
        <v>20</v>
      </c>
      <c r="E459" t="s">
        <v>21</v>
      </c>
      <c r="F459" t="s">
        <v>152</v>
      </c>
      <c r="G459" t="s">
        <v>23</v>
      </c>
      <c r="H459" t="s">
        <v>24</v>
      </c>
      <c r="J459">
        <v>2</v>
      </c>
      <c r="K459" s="1">
        <v>45463</v>
      </c>
      <c r="L459" s="1">
        <v>45475</v>
      </c>
      <c r="M459" s="1">
        <v>45541</v>
      </c>
      <c r="N459" s="1">
        <v>45552</v>
      </c>
      <c r="O459" s="1">
        <v>45569</v>
      </c>
      <c r="P459" s="1">
        <v>45604</v>
      </c>
      <c r="Q459" s="1">
        <v>45525</v>
      </c>
      <c r="R459" s="1">
        <v>45591</v>
      </c>
    </row>
    <row r="460" spans="2:18" hidden="1" x14ac:dyDescent="0.25">
      <c r="B460" t="s">
        <v>150</v>
      </c>
      <c r="C460" t="s">
        <v>151</v>
      </c>
      <c r="D460" t="s">
        <v>20</v>
      </c>
      <c r="E460" t="s">
        <v>21</v>
      </c>
      <c r="F460" t="s">
        <v>152</v>
      </c>
      <c r="G460" t="s">
        <v>23</v>
      </c>
      <c r="H460" t="s">
        <v>25</v>
      </c>
      <c r="J460">
        <v>1</v>
      </c>
      <c r="K460" s="1">
        <v>45434</v>
      </c>
      <c r="L460" s="1">
        <v>45443</v>
      </c>
      <c r="M460" s="1">
        <v>45513</v>
      </c>
      <c r="N460" s="1">
        <v>45530</v>
      </c>
      <c r="O460" s="1">
        <v>45554</v>
      </c>
      <c r="P460" s="1">
        <v>45593</v>
      </c>
      <c r="Q460" s="1">
        <v>45499</v>
      </c>
      <c r="R460" s="1">
        <v>45574</v>
      </c>
    </row>
    <row r="461" spans="2:18" hidden="1" x14ac:dyDescent="0.25">
      <c r="B461" t="s">
        <v>150</v>
      </c>
      <c r="C461" t="s">
        <v>151</v>
      </c>
      <c r="D461" t="s">
        <v>20</v>
      </c>
      <c r="E461" t="s">
        <v>21</v>
      </c>
      <c r="F461" t="s">
        <v>152</v>
      </c>
      <c r="G461" t="s">
        <v>23</v>
      </c>
      <c r="H461" t="s">
        <v>25</v>
      </c>
      <c r="J461">
        <v>2</v>
      </c>
      <c r="K461" s="1">
        <v>45463</v>
      </c>
      <c r="L461" s="1">
        <v>45475</v>
      </c>
      <c r="M461" s="1">
        <v>45541</v>
      </c>
      <c r="N461" s="1">
        <v>45554</v>
      </c>
      <c r="O461" s="1">
        <v>45564</v>
      </c>
      <c r="P461" s="1">
        <v>45604</v>
      </c>
      <c r="Q461" s="1">
        <v>45527</v>
      </c>
      <c r="R461" s="1">
        <v>45592</v>
      </c>
    </row>
    <row r="462" spans="2:18" hidden="1" x14ac:dyDescent="0.25">
      <c r="B462" t="s">
        <v>150</v>
      </c>
      <c r="C462" t="s">
        <v>151</v>
      </c>
      <c r="D462" t="s">
        <v>20</v>
      </c>
      <c r="E462" t="s">
        <v>21</v>
      </c>
      <c r="F462" t="s">
        <v>152</v>
      </c>
      <c r="G462" t="s">
        <v>26</v>
      </c>
      <c r="H462" t="s">
        <v>24</v>
      </c>
      <c r="J462">
        <v>1</v>
      </c>
      <c r="K462" s="1">
        <v>45434</v>
      </c>
      <c r="L462" s="1">
        <v>45443</v>
      </c>
      <c r="M462" s="1">
        <v>45528</v>
      </c>
      <c r="N462" s="1">
        <v>45542</v>
      </c>
      <c r="O462" s="1">
        <v>45558</v>
      </c>
      <c r="P462" s="1">
        <v>45601</v>
      </c>
      <c r="Q462" s="1">
        <v>45512</v>
      </c>
      <c r="R462" s="1">
        <v>45582</v>
      </c>
    </row>
    <row r="463" spans="2:18" hidden="1" x14ac:dyDescent="0.25">
      <c r="B463" t="s">
        <v>150</v>
      </c>
      <c r="C463" t="s">
        <v>151</v>
      </c>
      <c r="D463" t="s">
        <v>20</v>
      </c>
      <c r="E463" t="s">
        <v>21</v>
      </c>
      <c r="F463" t="s">
        <v>152</v>
      </c>
      <c r="G463" t="s">
        <v>26</v>
      </c>
      <c r="H463" t="s">
        <v>24</v>
      </c>
      <c r="J463">
        <v>2</v>
      </c>
      <c r="K463" s="1">
        <v>45463</v>
      </c>
      <c r="L463" s="1">
        <v>45475</v>
      </c>
      <c r="M463" s="1">
        <v>45542</v>
      </c>
      <c r="N463" s="1">
        <v>45554</v>
      </c>
      <c r="O463" s="1">
        <v>45586</v>
      </c>
      <c r="P463" s="1">
        <v>45604</v>
      </c>
      <c r="Q463" s="1">
        <v>45527</v>
      </c>
      <c r="R463" s="1">
        <v>45592</v>
      </c>
    </row>
    <row r="464" spans="2:18" hidden="1" x14ac:dyDescent="0.25">
      <c r="B464" t="s">
        <v>150</v>
      </c>
      <c r="C464" t="s">
        <v>151</v>
      </c>
      <c r="D464" t="s">
        <v>20</v>
      </c>
      <c r="E464" t="s">
        <v>21</v>
      </c>
      <c r="F464" t="s">
        <v>152</v>
      </c>
      <c r="G464" t="s">
        <v>26</v>
      </c>
      <c r="H464" t="s">
        <v>25</v>
      </c>
      <c r="J464">
        <v>1</v>
      </c>
      <c r="K464" s="1">
        <v>45434</v>
      </c>
      <c r="L464" s="1">
        <v>45443</v>
      </c>
      <c r="M464" s="1">
        <v>45528</v>
      </c>
      <c r="N464" s="1">
        <v>45542</v>
      </c>
      <c r="O464" s="1">
        <v>45555</v>
      </c>
      <c r="P464" s="1">
        <v>45596</v>
      </c>
      <c r="Q464" s="1">
        <v>45512</v>
      </c>
      <c r="R464" s="1">
        <v>45582</v>
      </c>
    </row>
    <row r="465" spans="2:18" hidden="1" x14ac:dyDescent="0.25">
      <c r="B465" t="s">
        <v>150</v>
      </c>
      <c r="C465" t="s">
        <v>151</v>
      </c>
      <c r="D465" t="s">
        <v>20</v>
      </c>
      <c r="E465" t="s">
        <v>21</v>
      </c>
      <c r="F465" t="s">
        <v>152</v>
      </c>
      <c r="G465" t="s">
        <v>26</v>
      </c>
      <c r="H465" t="s">
        <v>25</v>
      </c>
      <c r="J465">
        <v>2</v>
      </c>
      <c r="K465" s="1">
        <v>45463</v>
      </c>
      <c r="L465" s="1">
        <v>45475</v>
      </c>
      <c r="M465" s="1">
        <v>45547</v>
      </c>
      <c r="N465" s="1">
        <v>45554</v>
      </c>
      <c r="O465" s="1">
        <v>45579</v>
      </c>
      <c r="P465" s="1">
        <v>45604</v>
      </c>
      <c r="Q465" s="1">
        <v>45527</v>
      </c>
      <c r="R465" s="1">
        <v>45592</v>
      </c>
    </row>
    <row r="466" spans="2:18" hidden="1" x14ac:dyDescent="0.25">
      <c r="B466" t="s">
        <v>150</v>
      </c>
      <c r="C466" t="s">
        <v>151</v>
      </c>
      <c r="D466" t="s">
        <v>20</v>
      </c>
      <c r="E466" t="s">
        <v>21</v>
      </c>
      <c r="F466" t="s">
        <v>152</v>
      </c>
      <c r="G466" t="s">
        <v>27</v>
      </c>
      <c r="H466" t="s">
        <v>24</v>
      </c>
      <c r="J466">
        <v>1</v>
      </c>
      <c r="K466" s="1">
        <v>45434</v>
      </c>
      <c r="L466" s="1">
        <v>45443</v>
      </c>
      <c r="M466" s="1">
        <v>45524</v>
      </c>
      <c r="N466" s="1">
        <v>45541</v>
      </c>
      <c r="O466" s="1">
        <v>45560</v>
      </c>
      <c r="P466" s="1">
        <v>45598</v>
      </c>
      <c r="Q466" s="1">
        <v>45511</v>
      </c>
      <c r="R466" s="1">
        <v>45581</v>
      </c>
    </row>
    <row r="467" spans="2:18" hidden="1" x14ac:dyDescent="0.25">
      <c r="B467" t="s">
        <v>150</v>
      </c>
      <c r="C467" t="s">
        <v>151</v>
      </c>
      <c r="D467" t="s">
        <v>20</v>
      </c>
      <c r="E467" t="s">
        <v>21</v>
      </c>
      <c r="F467" t="s">
        <v>152</v>
      </c>
      <c r="G467" t="s">
        <v>27</v>
      </c>
      <c r="H467" t="s">
        <v>24</v>
      </c>
      <c r="J467">
        <v>2</v>
      </c>
      <c r="K467" s="1">
        <v>45463</v>
      </c>
      <c r="L467" s="1">
        <v>45475</v>
      </c>
      <c r="M467" s="1">
        <v>45547</v>
      </c>
      <c r="N467" s="1">
        <v>45554</v>
      </c>
      <c r="O467" s="1">
        <v>45586</v>
      </c>
      <c r="P467" s="1">
        <v>45604</v>
      </c>
      <c r="Q467" s="1">
        <v>45527</v>
      </c>
      <c r="R467" s="1">
        <v>45592</v>
      </c>
    </row>
    <row r="468" spans="2:18" hidden="1" x14ac:dyDescent="0.25">
      <c r="B468" t="s">
        <v>150</v>
      </c>
      <c r="C468" t="s">
        <v>151</v>
      </c>
      <c r="D468" t="s">
        <v>20</v>
      </c>
      <c r="E468" t="s">
        <v>21</v>
      </c>
      <c r="F468" t="s">
        <v>152</v>
      </c>
      <c r="G468" t="s">
        <v>27</v>
      </c>
      <c r="H468" t="s">
        <v>25</v>
      </c>
      <c r="J468">
        <v>1</v>
      </c>
      <c r="K468" s="1">
        <v>45434</v>
      </c>
      <c r="L468" s="1">
        <v>45443</v>
      </c>
      <c r="M468" s="1">
        <v>45522</v>
      </c>
      <c r="N468" s="1">
        <v>45541</v>
      </c>
      <c r="O468" s="1">
        <v>45558</v>
      </c>
      <c r="P468" s="1">
        <v>45594</v>
      </c>
      <c r="Q468" s="1">
        <v>45511</v>
      </c>
      <c r="R468" s="1">
        <v>45581</v>
      </c>
    </row>
    <row r="469" spans="2:18" hidden="1" x14ac:dyDescent="0.25">
      <c r="B469" t="s">
        <v>150</v>
      </c>
      <c r="C469" t="s">
        <v>151</v>
      </c>
      <c r="D469" t="s">
        <v>20</v>
      </c>
      <c r="E469" t="s">
        <v>21</v>
      </c>
      <c r="F469" t="s">
        <v>152</v>
      </c>
      <c r="G469" t="s">
        <v>27</v>
      </c>
      <c r="H469" t="s">
        <v>25</v>
      </c>
      <c r="J469">
        <v>2</v>
      </c>
      <c r="K469" s="1">
        <v>45463</v>
      </c>
      <c r="L469" s="1">
        <v>45475</v>
      </c>
      <c r="M469" s="1">
        <v>45545</v>
      </c>
      <c r="N469" s="1">
        <v>45554</v>
      </c>
      <c r="O469" s="1">
        <v>45579</v>
      </c>
      <c r="P469" s="1">
        <v>45604</v>
      </c>
      <c r="Q469" s="1">
        <v>45527</v>
      </c>
      <c r="R469" s="1">
        <v>45592</v>
      </c>
    </row>
    <row r="470" spans="2:18" hidden="1" x14ac:dyDescent="0.25">
      <c r="B470" t="s">
        <v>150</v>
      </c>
      <c r="C470" t="s">
        <v>151</v>
      </c>
      <c r="D470" t="s">
        <v>20</v>
      </c>
      <c r="E470" t="s">
        <v>21</v>
      </c>
      <c r="F470" t="s">
        <v>152</v>
      </c>
      <c r="G470" t="s">
        <v>28</v>
      </c>
      <c r="H470" t="s">
        <v>24</v>
      </c>
      <c r="J470">
        <v>1</v>
      </c>
      <c r="K470" s="1">
        <v>45434</v>
      </c>
      <c r="L470" s="1">
        <v>45443</v>
      </c>
      <c r="M470" s="1">
        <v>45508</v>
      </c>
      <c r="N470" s="1">
        <v>45532</v>
      </c>
      <c r="O470" s="1">
        <v>45554</v>
      </c>
      <c r="P470" s="1">
        <v>45598</v>
      </c>
      <c r="Q470" s="1">
        <v>45501</v>
      </c>
      <c r="R470" s="1">
        <v>45575</v>
      </c>
    </row>
    <row r="471" spans="2:18" hidden="1" x14ac:dyDescent="0.25">
      <c r="B471" t="s">
        <v>150</v>
      </c>
      <c r="C471" t="s">
        <v>151</v>
      </c>
      <c r="D471" t="s">
        <v>20</v>
      </c>
      <c r="E471" t="s">
        <v>21</v>
      </c>
      <c r="F471" t="s">
        <v>152</v>
      </c>
      <c r="G471" t="s">
        <v>28</v>
      </c>
      <c r="H471" t="s">
        <v>24</v>
      </c>
      <c r="J471">
        <v>2</v>
      </c>
      <c r="K471" s="1">
        <v>45463</v>
      </c>
      <c r="L471" s="1">
        <v>45475</v>
      </c>
      <c r="M471" s="1">
        <v>45541</v>
      </c>
      <c r="N471" s="1">
        <v>45550</v>
      </c>
      <c r="O471" s="1">
        <v>45569</v>
      </c>
      <c r="P471" s="1">
        <v>45604</v>
      </c>
      <c r="Q471" s="1">
        <v>45522</v>
      </c>
      <c r="R471" s="1">
        <v>45589</v>
      </c>
    </row>
    <row r="472" spans="2:18" hidden="1" x14ac:dyDescent="0.25">
      <c r="B472" t="s">
        <v>150</v>
      </c>
      <c r="C472" t="s">
        <v>151</v>
      </c>
      <c r="D472" t="s">
        <v>20</v>
      </c>
      <c r="E472" t="s">
        <v>21</v>
      </c>
      <c r="F472" t="s">
        <v>152</v>
      </c>
      <c r="G472" t="s">
        <v>28</v>
      </c>
      <c r="H472" t="s">
        <v>25</v>
      </c>
      <c r="J472">
        <v>1</v>
      </c>
      <c r="K472" s="1">
        <v>45434</v>
      </c>
      <c r="L472" s="1">
        <v>45443</v>
      </c>
      <c r="M472" s="1">
        <v>45510</v>
      </c>
      <c r="N472" s="1">
        <v>45530</v>
      </c>
      <c r="O472" s="1">
        <v>45554</v>
      </c>
      <c r="P472" s="1">
        <v>45593</v>
      </c>
      <c r="Q472" s="1">
        <v>45499</v>
      </c>
      <c r="R472" s="1">
        <v>45574</v>
      </c>
    </row>
    <row r="473" spans="2:18" hidden="1" x14ac:dyDescent="0.25">
      <c r="B473" t="s">
        <v>150</v>
      </c>
      <c r="C473" t="s">
        <v>151</v>
      </c>
      <c r="D473" t="s">
        <v>20</v>
      </c>
      <c r="E473" t="s">
        <v>21</v>
      </c>
      <c r="F473" t="s">
        <v>152</v>
      </c>
      <c r="G473" t="s">
        <v>28</v>
      </c>
      <c r="H473" t="s">
        <v>25</v>
      </c>
      <c r="J473">
        <v>2</v>
      </c>
      <c r="K473" s="1">
        <v>45463</v>
      </c>
      <c r="L473" s="1">
        <v>45475</v>
      </c>
      <c r="M473" s="1">
        <v>45541</v>
      </c>
      <c r="N473" s="1">
        <v>45552</v>
      </c>
      <c r="O473" s="1">
        <v>45566</v>
      </c>
      <c r="P473" s="1">
        <v>45604</v>
      </c>
      <c r="Q473" s="1">
        <v>45525</v>
      </c>
      <c r="R473" s="1">
        <v>45591</v>
      </c>
    </row>
    <row r="474" spans="2:18" hidden="1" x14ac:dyDescent="0.25">
      <c r="B474" t="s">
        <v>153</v>
      </c>
      <c r="C474" t="s">
        <v>154</v>
      </c>
      <c r="D474" t="s">
        <v>38</v>
      </c>
      <c r="E474" t="s">
        <v>58</v>
      </c>
      <c r="F474" t="s">
        <v>84</v>
      </c>
      <c r="G474" t="s">
        <v>40</v>
      </c>
      <c r="H474" t="s">
        <v>25</v>
      </c>
      <c r="I474" t="s">
        <v>86</v>
      </c>
      <c r="J474">
        <v>1</v>
      </c>
      <c r="K474" s="1">
        <v>45392</v>
      </c>
      <c r="L474" s="1">
        <v>45404</v>
      </c>
      <c r="M474" s="1">
        <v>45474</v>
      </c>
      <c r="N474" s="1">
        <v>45514</v>
      </c>
      <c r="O474" s="1">
        <v>45531</v>
      </c>
      <c r="P474" s="1">
        <v>45566</v>
      </c>
      <c r="Q474" s="1">
        <v>45489</v>
      </c>
      <c r="R474" s="1">
        <v>45544</v>
      </c>
    </row>
    <row r="475" spans="2:18" hidden="1" x14ac:dyDescent="0.25">
      <c r="B475" t="s">
        <v>153</v>
      </c>
      <c r="C475" t="s">
        <v>154</v>
      </c>
      <c r="D475" t="s">
        <v>38</v>
      </c>
      <c r="E475" t="s">
        <v>58</v>
      </c>
      <c r="F475" t="s">
        <v>84</v>
      </c>
      <c r="G475" t="s">
        <v>40</v>
      </c>
      <c r="H475" t="s">
        <v>25</v>
      </c>
      <c r="I475" t="s">
        <v>85</v>
      </c>
      <c r="J475">
        <v>1</v>
      </c>
      <c r="K475" s="1">
        <v>45392</v>
      </c>
      <c r="L475" s="1">
        <v>45404</v>
      </c>
      <c r="M475" s="1">
        <v>45474</v>
      </c>
      <c r="N475" s="1">
        <v>45514</v>
      </c>
      <c r="O475" s="1">
        <v>45531</v>
      </c>
      <c r="P475" s="1">
        <v>45566</v>
      </c>
      <c r="Q475" s="1">
        <v>45489</v>
      </c>
      <c r="R475" s="1">
        <v>45544</v>
      </c>
    </row>
    <row r="476" spans="2:18" hidden="1" x14ac:dyDescent="0.25">
      <c r="B476" t="s">
        <v>153</v>
      </c>
      <c r="C476" t="s">
        <v>154</v>
      </c>
      <c r="D476" t="s">
        <v>38</v>
      </c>
      <c r="E476" t="s">
        <v>58</v>
      </c>
      <c r="F476" t="s">
        <v>84</v>
      </c>
      <c r="G476" t="s">
        <v>41</v>
      </c>
      <c r="H476" t="s">
        <v>25</v>
      </c>
      <c r="I476" t="s">
        <v>86</v>
      </c>
      <c r="J476">
        <v>1</v>
      </c>
      <c r="K476" s="1">
        <v>45392</v>
      </c>
      <c r="L476" s="1">
        <v>45404</v>
      </c>
      <c r="M476" s="1">
        <v>45474</v>
      </c>
      <c r="N476" s="1">
        <v>45488</v>
      </c>
      <c r="O476" s="1">
        <v>45516</v>
      </c>
      <c r="P476" s="1">
        <v>45554</v>
      </c>
      <c r="Q476" s="1">
        <v>45462</v>
      </c>
      <c r="R476" s="1">
        <v>45526</v>
      </c>
    </row>
    <row r="477" spans="2:18" hidden="1" x14ac:dyDescent="0.25">
      <c r="B477" t="s">
        <v>153</v>
      </c>
      <c r="C477" t="s">
        <v>154</v>
      </c>
      <c r="D477" t="s">
        <v>38</v>
      </c>
      <c r="E477" t="s">
        <v>58</v>
      </c>
      <c r="F477" t="s">
        <v>84</v>
      </c>
      <c r="G477" t="s">
        <v>41</v>
      </c>
      <c r="H477" t="s">
        <v>25</v>
      </c>
      <c r="I477" t="s">
        <v>85</v>
      </c>
      <c r="J477">
        <v>1</v>
      </c>
      <c r="K477" s="1">
        <v>45392</v>
      </c>
      <c r="L477" s="1">
        <v>45404</v>
      </c>
      <c r="M477" s="1">
        <v>45474</v>
      </c>
      <c r="N477" s="1">
        <v>45488</v>
      </c>
      <c r="O477" s="1">
        <v>45516</v>
      </c>
      <c r="P477" s="1">
        <v>45554</v>
      </c>
      <c r="Q477" s="1">
        <v>45462</v>
      </c>
      <c r="R477" s="1">
        <v>45526</v>
      </c>
    </row>
    <row r="478" spans="2:18" hidden="1" x14ac:dyDescent="0.25">
      <c r="B478" t="s">
        <v>153</v>
      </c>
      <c r="C478" t="s">
        <v>154</v>
      </c>
      <c r="D478" t="s">
        <v>38</v>
      </c>
      <c r="E478" t="s">
        <v>58</v>
      </c>
      <c r="F478" t="s">
        <v>84</v>
      </c>
      <c r="G478" t="s">
        <v>42</v>
      </c>
      <c r="H478" t="s">
        <v>25</v>
      </c>
      <c r="I478" t="s">
        <v>85</v>
      </c>
      <c r="J478">
        <v>1</v>
      </c>
      <c r="K478" s="1">
        <v>45392</v>
      </c>
      <c r="L478" s="1">
        <v>45404</v>
      </c>
      <c r="M478" s="1">
        <v>45447</v>
      </c>
      <c r="N478" s="1">
        <v>45482</v>
      </c>
      <c r="O478" s="1">
        <v>45516</v>
      </c>
      <c r="P478" s="1">
        <v>45554</v>
      </c>
      <c r="Q478" s="1">
        <v>45456</v>
      </c>
      <c r="R478" s="1">
        <v>45522</v>
      </c>
    </row>
    <row r="479" spans="2:18" hidden="1" x14ac:dyDescent="0.25">
      <c r="B479" t="s">
        <v>153</v>
      </c>
      <c r="C479" t="s">
        <v>154</v>
      </c>
      <c r="D479" t="s">
        <v>38</v>
      </c>
      <c r="E479" t="s">
        <v>58</v>
      </c>
      <c r="F479" t="s">
        <v>84</v>
      </c>
      <c r="G479" t="s">
        <v>43</v>
      </c>
      <c r="H479" t="s">
        <v>25</v>
      </c>
      <c r="I479" t="s">
        <v>85</v>
      </c>
      <c r="J479">
        <v>1</v>
      </c>
      <c r="K479" s="1">
        <v>45392</v>
      </c>
      <c r="L479" s="1">
        <v>45404</v>
      </c>
      <c r="M479" s="1">
        <v>45474</v>
      </c>
      <c r="N479" s="1">
        <v>45516</v>
      </c>
      <c r="O479" s="1">
        <v>45531</v>
      </c>
      <c r="P479" s="1">
        <v>45554</v>
      </c>
      <c r="Q479" s="1">
        <v>45492</v>
      </c>
      <c r="R479" s="1">
        <v>45546</v>
      </c>
    </row>
    <row r="480" spans="2:18" hidden="1" x14ac:dyDescent="0.25">
      <c r="B480" t="s">
        <v>153</v>
      </c>
      <c r="C480" t="s">
        <v>154</v>
      </c>
      <c r="D480" t="s">
        <v>38</v>
      </c>
      <c r="E480" t="s">
        <v>58</v>
      </c>
      <c r="F480" t="s">
        <v>84</v>
      </c>
      <c r="G480" t="s">
        <v>40</v>
      </c>
      <c r="H480" t="s">
        <v>25</v>
      </c>
      <c r="I480" t="s">
        <v>86</v>
      </c>
      <c r="J480">
        <v>2</v>
      </c>
      <c r="K480" s="1">
        <v>45427</v>
      </c>
      <c r="L480" s="1">
        <v>45436</v>
      </c>
      <c r="M480" s="1">
        <v>45516</v>
      </c>
      <c r="N480" s="1">
        <v>45531</v>
      </c>
      <c r="O480" s="1">
        <v>45554</v>
      </c>
      <c r="P480" s="1">
        <v>45581</v>
      </c>
      <c r="Q480" s="1">
        <v>45513</v>
      </c>
      <c r="R480" s="1">
        <v>45564</v>
      </c>
    </row>
    <row r="481" spans="1:24" hidden="1" x14ac:dyDescent="0.25">
      <c r="B481" t="s">
        <v>153</v>
      </c>
      <c r="C481" t="s">
        <v>154</v>
      </c>
      <c r="D481" t="s">
        <v>38</v>
      </c>
      <c r="E481" t="s">
        <v>58</v>
      </c>
      <c r="F481" t="s">
        <v>84</v>
      </c>
      <c r="G481" t="s">
        <v>40</v>
      </c>
      <c r="H481" t="s">
        <v>25</v>
      </c>
      <c r="I481" t="s">
        <v>85</v>
      </c>
      <c r="J481">
        <v>2</v>
      </c>
      <c r="K481" s="1">
        <v>45427</v>
      </c>
      <c r="L481" s="1">
        <v>45436</v>
      </c>
      <c r="M481" s="1">
        <v>45516</v>
      </c>
      <c r="N481" s="1">
        <v>45531</v>
      </c>
      <c r="O481" s="1">
        <v>45554</v>
      </c>
      <c r="P481" s="1">
        <v>45581</v>
      </c>
      <c r="Q481" s="1">
        <v>45513</v>
      </c>
      <c r="R481" s="1">
        <v>45564</v>
      </c>
    </row>
    <row r="482" spans="1:24" hidden="1" x14ac:dyDescent="0.25">
      <c r="B482" t="s">
        <v>153</v>
      </c>
      <c r="C482" t="s">
        <v>154</v>
      </c>
      <c r="D482" t="s">
        <v>38</v>
      </c>
      <c r="E482" t="s">
        <v>58</v>
      </c>
      <c r="F482" t="s">
        <v>84</v>
      </c>
      <c r="G482" t="s">
        <v>41</v>
      </c>
      <c r="H482" t="s">
        <v>25</v>
      </c>
      <c r="I482" t="s">
        <v>85</v>
      </c>
      <c r="J482">
        <v>2</v>
      </c>
      <c r="K482" s="1">
        <v>45427</v>
      </c>
      <c r="L482" s="1">
        <v>45436</v>
      </c>
      <c r="M482" s="1">
        <v>45516</v>
      </c>
      <c r="N482" s="1">
        <v>45527</v>
      </c>
      <c r="O482" s="1">
        <v>45541</v>
      </c>
      <c r="P482" s="1">
        <v>45566</v>
      </c>
      <c r="Q482" s="1">
        <v>45507</v>
      </c>
      <c r="R482" s="1">
        <v>45559</v>
      </c>
    </row>
    <row r="483" spans="1:24" hidden="1" x14ac:dyDescent="0.25">
      <c r="B483" t="s">
        <v>153</v>
      </c>
      <c r="C483" t="s">
        <v>154</v>
      </c>
      <c r="D483" t="s">
        <v>38</v>
      </c>
      <c r="E483" t="s">
        <v>58</v>
      </c>
      <c r="F483" t="s">
        <v>84</v>
      </c>
      <c r="G483" t="s">
        <v>41</v>
      </c>
      <c r="H483" t="s">
        <v>25</v>
      </c>
      <c r="I483" t="s">
        <v>86</v>
      </c>
      <c r="J483">
        <v>2</v>
      </c>
      <c r="K483" s="1">
        <v>45427</v>
      </c>
      <c r="L483" s="1">
        <v>45436</v>
      </c>
      <c r="M483" s="1">
        <v>45516</v>
      </c>
      <c r="N483" s="1">
        <v>45527</v>
      </c>
      <c r="O483" s="1">
        <v>45541</v>
      </c>
      <c r="P483" s="1">
        <v>45566</v>
      </c>
      <c r="Q483" s="1">
        <v>45507</v>
      </c>
      <c r="R483" s="1">
        <v>45559</v>
      </c>
    </row>
    <row r="484" spans="1:24" hidden="1" x14ac:dyDescent="0.25">
      <c r="B484" t="s">
        <v>153</v>
      </c>
      <c r="C484" t="s">
        <v>154</v>
      </c>
      <c r="D484" t="s">
        <v>38</v>
      </c>
      <c r="E484" t="s">
        <v>58</v>
      </c>
      <c r="F484" t="s">
        <v>84</v>
      </c>
      <c r="G484" t="s">
        <v>42</v>
      </c>
      <c r="H484" t="s">
        <v>25</v>
      </c>
      <c r="I484" t="s">
        <v>85</v>
      </c>
      <c r="J484">
        <v>2</v>
      </c>
      <c r="K484" s="1">
        <v>45427</v>
      </c>
      <c r="L484" s="1">
        <v>45436</v>
      </c>
      <c r="M484" s="1"/>
      <c r="N484" s="1">
        <v>45516</v>
      </c>
      <c r="O484" s="1">
        <v>45531</v>
      </c>
      <c r="P484" s="1">
        <v>45566</v>
      </c>
      <c r="Q484" s="1">
        <v>45492</v>
      </c>
      <c r="R484" s="1">
        <v>45546</v>
      </c>
    </row>
    <row r="485" spans="1:24" hidden="1" x14ac:dyDescent="0.25">
      <c r="B485" t="s">
        <v>153</v>
      </c>
      <c r="C485" t="s">
        <v>154</v>
      </c>
      <c r="D485" t="s">
        <v>38</v>
      </c>
      <c r="E485" t="s">
        <v>58</v>
      </c>
      <c r="F485" t="s">
        <v>84</v>
      </c>
      <c r="G485" t="s">
        <v>43</v>
      </c>
      <c r="H485" t="s">
        <v>25</v>
      </c>
      <c r="I485" t="s">
        <v>85</v>
      </c>
      <c r="J485">
        <v>2</v>
      </c>
      <c r="K485" s="1">
        <v>45427</v>
      </c>
      <c r="L485" s="1">
        <v>45436</v>
      </c>
      <c r="M485" s="1">
        <v>45516</v>
      </c>
      <c r="N485" s="1">
        <v>45531</v>
      </c>
      <c r="O485" s="1">
        <v>45554</v>
      </c>
      <c r="P485" s="1">
        <v>45581</v>
      </c>
      <c r="Q485" s="1">
        <v>45513</v>
      </c>
      <c r="R485" s="1">
        <v>45564</v>
      </c>
    </row>
    <row r="486" spans="1:24" x14ac:dyDescent="0.25">
      <c r="A486" t="str">
        <f t="shared" ref="A486:A497" si="43">C486&amp;"TOSTOS"&amp;J486&amp;"Variety"&amp;G486&amp;"WaterTrt"&amp;H486&amp;IF(I486="","","Agronomy"&amp;I486)</f>
        <v>2024_SA_Warnertown_Lentil_SatelliteTOSTOS1VarietyBoltWaterTrtRainFedAgronomyDensity_0.66</v>
      </c>
      <c r="B486" t="s">
        <v>155</v>
      </c>
      <c r="C486" t="s">
        <v>156</v>
      </c>
      <c r="D486" t="s">
        <v>46</v>
      </c>
      <c r="E486" t="s">
        <v>58</v>
      </c>
      <c r="F486" t="s">
        <v>84</v>
      </c>
      <c r="G486" t="s">
        <v>165</v>
      </c>
      <c r="H486" t="s">
        <v>25</v>
      </c>
      <c r="I486" t="s">
        <v>86</v>
      </c>
      <c r="J486">
        <v>1</v>
      </c>
      <c r="K486" s="1">
        <v>45392</v>
      </c>
      <c r="L486" s="1">
        <v>45400</v>
      </c>
      <c r="M486" s="1">
        <v>45474</v>
      </c>
      <c r="N486" s="1">
        <v>45507</v>
      </c>
      <c r="O486" s="1">
        <v>45531</v>
      </c>
      <c r="P486" s="1">
        <v>45554</v>
      </c>
      <c r="Q486" s="1">
        <v>45481</v>
      </c>
      <c r="R486" s="1">
        <v>45539</v>
      </c>
      <c r="T486">
        <f t="shared" ref="T486:T497" si="44">L486-$K486</f>
        <v>8</v>
      </c>
      <c r="U486">
        <f t="shared" ref="U486:U497" si="45">M486-$K486</f>
        <v>82</v>
      </c>
      <c r="V486">
        <f t="shared" ref="V486:V497" si="46">N486-$K486</f>
        <v>115</v>
      </c>
      <c r="W486">
        <f t="shared" ref="W486:W497" si="47">O486-$K486</f>
        <v>139</v>
      </c>
      <c r="X486">
        <f t="shared" ref="X486:X497" si="48">P486-$K486</f>
        <v>162</v>
      </c>
    </row>
    <row r="487" spans="1:24" x14ac:dyDescent="0.25">
      <c r="A487" t="str">
        <f t="shared" si="43"/>
        <v>2024_SA_Warnertown_Lentil_SatelliteTOSTOS1VarietyBoltWaterTrtRainFedAgronomyDensity_1</v>
      </c>
      <c r="B487" t="s">
        <v>155</v>
      </c>
      <c r="C487" t="s">
        <v>156</v>
      </c>
      <c r="D487" t="s">
        <v>46</v>
      </c>
      <c r="E487" t="s">
        <v>58</v>
      </c>
      <c r="F487" t="s">
        <v>84</v>
      </c>
      <c r="G487" t="s">
        <v>165</v>
      </c>
      <c r="H487" t="s">
        <v>25</v>
      </c>
      <c r="I487" t="s">
        <v>85</v>
      </c>
      <c r="J487">
        <v>1</v>
      </c>
      <c r="K487" s="1">
        <v>45392</v>
      </c>
      <c r="L487" s="1">
        <v>45400</v>
      </c>
      <c r="M487" s="1">
        <v>45474</v>
      </c>
      <c r="N487" s="1">
        <v>45507</v>
      </c>
      <c r="O487" s="1">
        <v>45531</v>
      </c>
      <c r="P487" s="1">
        <v>45554</v>
      </c>
      <c r="Q487" s="1">
        <v>45481</v>
      </c>
      <c r="R487" s="1">
        <v>45539</v>
      </c>
      <c r="T487">
        <f t="shared" si="44"/>
        <v>8</v>
      </c>
      <c r="U487">
        <f t="shared" si="45"/>
        <v>82</v>
      </c>
      <c r="V487">
        <f t="shared" si="46"/>
        <v>115</v>
      </c>
      <c r="W487">
        <f t="shared" si="47"/>
        <v>139</v>
      </c>
      <c r="X487">
        <f t="shared" si="48"/>
        <v>162</v>
      </c>
    </row>
    <row r="488" spans="1:24" x14ac:dyDescent="0.25">
      <c r="A488" t="str">
        <f t="shared" si="43"/>
        <v>2024_SA_Warnertown_Lentil_SatelliteTOSTOS1VarietyHallmarkXTWaterTrtRainFedAgronomyDensity_1</v>
      </c>
      <c r="B488" t="s">
        <v>155</v>
      </c>
      <c r="C488" t="s">
        <v>156</v>
      </c>
      <c r="D488" t="s">
        <v>46</v>
      </c>
      <c r="E488" t="s">
        <v>58</v>
      </c>
      <c r="F488" t="s">
        <v>84</v>
      </c>
      <c r="G488" t="s">
        <v>167</v>
      </c>
      <c r="H488" t="s">
        <v>25</v>
      </c>
      <c r="I488" t="s">
        <v>85</v>
      </c>
      <c r="J488">
        <v>1</v>
      </c>
      <c r="K488" s="1">
        <v>45392</v>
      </c>
      <c r="L488" s="1">
        <v>45400</v>
      </c>
      <c r="M488" s="1">
        <v>45474</v>
      </c>
      <c r="N488" s="1">
        <v>45512</v>
      </c>
      <c r="O488" s="1">
        <v>45531</v>
      </c>
      <c r="P488" s="1">
        <v>45554</v>
      </c>
      <c r="Q488" s="1">
        <v>45486</v>
      </c>
      <c r="R488" s="1">
        <v>45543</v>
      </c>
      <c r="T488">
        <f t="shared" si="44"/>
        <v>8</v>
      </c>
      <c r="U488">
        <f t="shared" si="45"/>
        <v>82</v>
      </c>
      <c r="V488">
        <f t="shared" si="46"/>
        <v>120</v>
      </c>
      <c r="W488">
        <f t="shared" si="47"/>
        <v>139</v>
      </c>
      <c r="X488">
        <f t="shared" si="48"/>
        <v>162</v>
      </c>
    </row>
    <row r="489" spans="1:24" x14ac:dyDescent="0.25">
      <c r="A489" t="str">
        <f t="shared" si="43"/>
        <v>2024_SA_Warnertown_Lentil_SatelliteTOSTOS1VarietyJumbo2WaterTrtRainFedAgronomyDensity_1</v>
      </c>
      <c r="B489" t="s">
        <v>155</v>
      </c>
      <c r="C489" t="s">
        <v>156</v>
      </c>
      <c r="D489" t="s">
        <v>46</v>
      </c>
      <c r="E489" t="s">
        <v>58</v>
      </c>
      <c r="F489" t="s">
        <v>84</v>
      </c>
      <c r="G489" t="s">
        <v>168</v>
      </c>
      <c r="H489" t="s">
        <v>25</v>
      </c>
      <c r="I489" t="s">
        <v>85</v>
      </c>
      <c r="J489">
        <v>1</v>
      </c>
      <c r="K489" s="1">
        <v>45392</v>
      </c>
      <c r="L489" s="1">
        <v>45400</v>
      </c>
      <c r="M489" s="1">
        <v>45474</v>
      </c>
      <c r="N489" s="1">
        <v>45497</v>
      </c>
      <c r="O489" s="1">
        <v>45531</v>
      </c>
      <c r="P489" s="1">
        <v>45554</v>
      </c>
      <c r="Q489" s="1">
        <v>45472</v>
      </c>
      <c r="R489" s="1">
        <v>45532</v>
      </c>
      <c r="T489">
        <f t="shared" si="44"/>
        <v>8</v>
      </c>
      <c r="U489">
        <f t="shared" si="45"/>
        <v>82</v>
      </c>
      <c r="V489">
        <f t="shared" si="46"/>
        <v>105</v>
      </c>
      <c r="W489">
        <f t="shared" si="47"/>
        <v>139</v>
      </c>
      <c r="X489">
        <f t="shared" si="48"/>
        <v>162</v>
      </c>
    </row>
    <row r="490" spans="1:24" x14ac:dyDescent="0.25">
      <c r="A490" t="str">
        <f t="shared" si="43"/>
        <v>2024_SA_Warnertown_Lentil_SatelliteTOSTOS1VarietyJumbo2WaterTrtRainFedAgronomyDensity_0.66</v>
      </c>
      <c r="B490" t="s">
        <v>155</v>
      </c>
      <c r="C490" t="s">
        <v>156</v>
      </c>
      <c r="D490" t="s">
        <v>46</v>
      </c>
      <c r="E490" t="s">
        <v>58</v>
      </c>
      <c r="F490" t="s">
        <v>84</v>
      </c>
      <c r="G490" t="s">
        <v>168</v>
      </c>
      <c r="H490" t="s">
        <v>25</v>
      </c>
      <c r="I490" t="s">
        <v>86</v>
      </c>
      <c r="J490">
        <v>1</v>
      </c>
      <c r="K490" s="1">
        <v>45392</v>
      </c>
      <c r="L490" s="1">
        <v>45400</v>
      </c>
      <c r="M490" s="1">
        <v>45474</v>
      </c>
      <c r="N490" s="1">
        <v>45497</v>
      </c>
      <c r="O490" s="1">
        <v>45531</v>
      </c>
      <c r="P490" s="1">
        <v>45554</v>
      </c>
      <c r="Q490" s="1">
        <v>45472</v>
      </c>
      <c r="R490" s="1">
        <v>45532</v>
      </c>
      <c r="T490">
        <f t="shared" si="44"/>
        <v>8</v>
      </c>
      <c r="U490">
        <f t="shared" si="45"/>
        <v>82</v>
      </c>
      <c r="V490">
        <f t="shared" si="46"/>
        <v>105</v>
      </c>
      <c r="W490">
        <f t="shared" si="47"/>
        <v>139</v>
      </c>
      <c r="X490">
        <f t="shared" si="48"/>
        <v>162</v>
      </c>
    </row>
    <row r="491" spans="1:24" x14ac:dyDescent="0.25">
      <c r="A491" t="str">
        <f t="shared" si="43"/>
        <v>2024_SA_Warnertown_Lentil_SatelliteTOSTOS1VarietyKelpieXTWaterTrtRainFedAgronomyDensity_1</v>
      </c>
      <c r="B491" t="s">
        <v>155</v>
      </c>
      <c r="C491" t="s">
        <v>156</v>
      </c>
      <c r="D491" t="s">
        <v>46</v>
      </c>
      <c r="E491" t="s">
        <v>58</v>
      </c>
      <c r="F491" t="s">
        <v>84</v>
      </c>
      <c r="G491" t="s">
        <v>169</v>
      </c>
      <c r="H491" t="s">
        <v>25</v>
      </c>
      <c r="I491" t="s">
        <v>85</v>
      </c>
      <c r="J491">
        <v>1</v>
      </c>
      <c r="K491" s="1">
        <v>45392</v>
      </c>
      <c r="L491" s="1">
        <v>45400</v>
      </c>
      <c r="M491" s="1">
        <v>45474</v>
      </c>
      <c r="N491" s="1">
        <v>45489</v>
      </c>
      <c r="O491" s="1">
        <v>45516</v>
      </c>
      <c r="P491" s="1">
        <v>45554</v>
      </c>
      <c r="Q491" s="1">
        <v>45463</v>
      </c>
      <c r="R491" s="1">
        <v>45527</v>
      </c>
      <c r="T491">
        <f t="shared" si="44"/>
        <v>8</v>
      </c>
      <c r="U491">
        <f t="shared" si="45"/>
        <v>82</v>
      </c>
      <c r="V491">
        <f t="shared" si="46"/>
        <v>97</v>
      </c>
      <c r="W491">
        <f t="shared" si="47"/>
        <v>124</v>
      </c>
      <c r="X491">
        <f t="shared" si="48"/>
        <v>162</v>
      </c>
    </row>
    <row r="492" spans="1:24" x14ac:dyDescent="0.25">
      <c r="A492" t="str">
        <f t="shared" si="43"/>
        <v>2024_SA_Warnertown_Lentil_SatelliteTOSTOS2VarietyBoltWaterTrtRainFedAgronomyDensity_1</v>
      </c>
      <c r="B492" t="s">
        <v>155</v>
      </c>
      <c r="C492" t="s">
        <v>156</v>
      </c>
      <c r="D492" t="s">
        <v>46</v>
      </c>
      <c r="E492" t="s">
        <v>58</v>
      </c>
      <c r="F492" t="s">
        <v>84</v>
      </c>
      <c r="G492" t="s">
        <v>165</v>
      </c>
      <c r="H492" t="s">
        <v>25</v>
      </c>
      <c r="I492" t="s">
        <v>85</v>
      </c>
      <c r="J492">
        <v>2</v>
      </c>
      <c r="K492" s="1">
        <v>45427</v>
      </c>
      <c r="L492" s="1">
        <v>45447</v>
      </c>
      <c r="M492" s="1">
        <v>45531</v>
      </c>
      <c r="N492" s="1">
        <v>45531</v>
      </c>
      <c r="O492" s="1">
        <v>45541</v>
      </c>
      <c r="P492" s="1">
        <v>45581</v>
      </c>
      <c r="Q492" s="1">
        <v>45513</v>
      </c>
      <c r="R492" s="1">
        <v>45564</v>
      </c>
      <c r="T492">
        <f t="shared" si="44"/>
        <v>20</v>
      </c>
      <c r="U492">
        <f t="shared" si="45"/>
        <v>104</v>
      </c>
      <c r="V492">
        <f t="shared" si="46"/>
        <v>104</v>
      </c>
      <c r="W492">
        <f t="shared" si="47"/>
        <v>114</v>
      </c>
      <c r="X492">
        <f t="shared" si="48"/>
        <v>154</v>
      </c>
    </row>
    <row r="493" spans="1:24" x14ac:dyDescent="0.25">
      <c r="A493" t="str">
        <f t="shared" si="43"/>
        <v>2024_SA_Warnertown_Lentil_SatelliteTOSTOS2VarietyBoltWaterTrtRainFedAgronomyDensity_0.66</v>
      </c>
      <c r="B493" t="s">
        <v>155</v>
      </c>
      <c r="C493" t="s">
        <v>156</v>
      </c>
      <c r="D493" t="s">
        <v>46</v>
      </c>
      <c r="E493" t="s">
        <v>58</v>
      </c>
      <c r="F493" t="s">
        <v>84</v>
      </c>
      <c r="G493" t="s">
        <v>165</v>
      </c>
      <c r="H493" t="s">
        <v>25</v>
      </c>
      <c r="I493" t="s">
        <v>86</v>
      </c>
      <c r="J493">
        <v>2</v>
      </c>
      <c r="K493" s="1">
        <v>45427</v>
      </c>
      <c r="L493" s="1">
        <v>45447</v>
      </c>
      <c r="M493" s="1">
        <v>45531</v>
      </c>
      <c r="N493" s="1">
        <v>45531</v>
      </c>
      <c r="O493" s="1">
        <v>45541</v>
      </c>
      <c r="P493" s="1">
        <v>45581</v>
      </c>
      <c r="Q493" s="1">
        <v>45513</v>
      </c>
      <c r="R493" s="1">
        <v>45564</v>
      </c>
      <c r="T493">
        <f t="shared" si="44"/>
        <v>20</v>
      </c>
      <c r="U493">
        <f t="shared" si="45"/>
        <v>104</v>
      </c>
      <c r="V493">
        <f t="shared" si="46"/>
        <v>104</v>
      </c>
      <c r="W493">
        <f t="shared" si="47"/>
        <v>114</v>
      </c>
      <c r="X493">
        <f t="shared" si="48"/>
        <v>154</v>
      </c>
    </row>
    <row r="494" spans="1:24" x14ac:dyDescent="0.25">
      <c r="A494" t="str">
        <f t="shared" si="43"/>
        <v>2024_SA_Warnertown_Lentil_SatelliteTOSTOS2VarietyHallmarkXTWaterTrtRainFedAgronomyDensity_1</v>
      </c>
      <c r="B494" t="s">
        <v>155</v>
      </c>
      <c r="C494" t="s">
        <v>156</v>
      </c>
      <c r="D494" t="s">
        <v>46</v>
      </c>
      <c r="E494" t="s">
        <v>58</v>
      </c>
      <c r="F494" t="s">
        <v>84</v>
      </c>
      <c r="G494" t="s">
        <v>167</v>
      </c>
      <c r="H494" t="s">
        <v>25</v>
      </c>
      <c r="I494" t="s">
        <v>85</v>
      </c>
      <c r="J494">
        <v>2</v>
      </c>
      <c r="K494" s="1">
        <v>45427</v>
      </c>
      <c r="L494" s="1">
        <v>45447</v>
      </c>
      <c r="M494" s="1">
        <v>45531</v>
      </c>
      <c r="N494" s="1">
        <v>45531</v>
      </c>
      <c r="O494" s="1">
        <v>45541</v>
      </c>
      <c r="P494" s="1">
        <v>45581</v>
      </c>
      <c r="Q494" s="1">
        <v>45513</v>
      </c>
      <c r="R494" s="1">
        <v>45564</v>
      </c>
      <c r="T494">
        <f t="shared" si="44"/>
        <v>20</v>
      </c>
      <c r="U494">
        <f t="shared" si="45"/>
        <v>104</v>
      </c>
      <c r="V494">
        <f t="shared" si="46"/>
        <v>104</v>
      </c>
      <c r="W494">
        <f t="shared" si="47"/>
        <v>114</v>
      </c>
      <c r="X494">
        <f t="shared" si="48"/>
        <v>154</v>
      </c>
    </row>
    <row r="495" spans="1:24" x14ac:dyDescent="0.25">
      <c r="A495" t="str">
        <f t="shared" si="43"/>
        <v>2024_SA_Warnertown_Lentil_SatelliteTOSTOS2VarietyJumbo2WaterTrtRainFedAgronomyDensity_0.66</v>
      </c>
      <c r="B495" t="s">
        <v>155</v>
      </c>
      <c r="C495" t="s">
        <v>156</v>
      </c>
      <c r="D495" t="s">
        <v>46</v>
      </c>
      <c r="E495" t="s">
        <v>58</v>
      </c>
      <c r="F495" t="s">
        <v>84</v>
      </c>
      <c r="G495" t="s">
        <v>168</v>
      </c>
      <c r="H495" t="s">
        <v>25</v>
      </c>
      <c r="I495" t="s">
        <v>86</v>
      </c>
      <c r="J495">
        <v>2</v>
      </c>
      <c r="K495" s="1">
        <v>45427</v>
      </c>
      <c r="L495" s="1">
        <v>45447</v>
      </c>
      <c r="M495" s="1">
        <v>45531</v>
      </c>
      <c r="N495" s="1">
        <v>45531</v>
      </c>
      <c r="O495" s="1">
        <v>45541</v>
      </c>
      <c r="P495" s="1">
        <v>45581</v>
      </c>
      <c r="Q495" s="1">
        <v>45513</v>
      </c>
      <c r="R495" s="1">
        <v>45564</v>
      </c>
      <c r="T495">
        <f t="shared" si="44"/>
        <v>20</v>
      </c>
      <c r="U495">
        <f t="shared" si="45"/>
        <v>104</v>
      </c>
      <c r="V495">
        <f t="shared" si="46"/>
        <v>104</v>
      </c>
      <c r="W495">
        <f t="shared" si="47"/>
        <v>114</v>
      </c>
      <c r="X495">
        <f t="shared" si="48"/>
        <v>154</v>
      </c>
    </row>
    <row r="496" spans="1:24" x14ac:dyDescent="0.25">
      <c r="A496" t="str">
        <f t="shared" si="43"/>
        <v>2024_SA_Warnertown_Lentil_SatelliteTOSTOS2VarietyJumbo2WaterTrtRainFedAgronomyDensity_1</v>
      </c>
      <c r="B496" t="s">
        <v>155</v>
      </c>
      <c r="C496" t="s">
        <v>156</v>
      </c>
      <c r="D496" t="s">
        <v>46</v>
      </c>
      <c r="E496" t="s">
        <v>58</v>
      </c>
      <c r="F496" t="s">
        <v>84</v>
      </c>
      <c r="G496" t="s">
        <v>168</v>
      </c>
      <c r="H496" t="s">
        <v>25</v>
      </c>
      <c r="I496" t="s">
        <v>85</v>
      </c>
      <c r="J496">
        <v>2</v>
      </c>
      <c r="K496" s="1">
        <v>45427</v>
      </c>
      <c r="L496" s="1">
        <v>45447</v>
      </c>
      <c r="M496" s="1">
        <v>45531</v>
      </c>
      <c r="N496" s="1">
        <v>45531</v>
      </c>
      <c r="O496" s="1">
        <v>45541</v>
      </c>
      <c r="P496" s="1">
        <v>45581</v>
      </c>
      <c r="Q496" s="1">
        <v>45513</v>
      </c>
      <c r="R496" s="1">
        <v>45564</v>
      </c>
      <c r="T496">
        <f t="shared" si="44"/>
        <v>20</v>
      </c>
      <c r="U496">
        <f t="shared" si="45"/>
        <v>104</v>
      </c>
      <c r="V496">
        <f t="shared" si="46"/>
        <v>104</v>
      </c>
      <c r="W496">
        <f t="shared" si="47"/>
        <v>114</v>
      </c>
      <c r="X496">
        <f t="shared" si="48"/>
        <v>154</v>
      </c>
    </row>
    <row r="497" spans="1:24" x14ac:dyDescent="0.25">
      <c r="A497" t="str">
        <f t="shared" si="43"/>
        <v>2024_SA_Warnertown_Lentil_SatelliteTOSTOS2VarietyKelpieXTWaterTrtRainFedAgronomyDensity_1</v>
      </c>
      <c r="B497" t="s">
        <v>155</v>
      </c>
      <c r="C497" t="s">
        <v>156</v>
      </c>
      <c r="D497" t="s">
        <v>46</v>
      </c>
      <c r="E497" t="s">
        <v>58</v>
      </c>
      <c r="F497" t="s">
        <v>84</v>
      </c>
      <c r="G497" t="s">
        <v>169</v>
      </c>
      <c r="H497" t="s">
        <v>25</v>
      </c>
      <c r="I497" t="s">
        <v>85</v>
      </c>
      <c r="J497">
        <v>2</v>
      </c>
      <c r="K497" s="1">
        <v>45427</v>
      </c>
      <c r="L497" s="1">
        <v>45447</v>
      </c>
      <c r="M497" s="1">
        <v>45531</v>
      </c>
      <c r="N497" s="1">
        <v>45531</v>
      </c>
      <c r="O497" s="1">
        <v>45541</v>
      </c>
      <c r="P497" s="1">
        <v>45581</v>
      </c>
      <c r="Q497" s="1">
        <v>45513</v>
      </c>
      <c r="R497" s="1">
        <v>45564</v>
      </c>
      <c r="T497">
        <f t="shared" si="44"/>
        <v>20</v>
      </c>
      <c r="U497">
        <f t="shared" si="45"/>
        <v>104</v>
      </c>
      <c r="V497">
        <f t="shared" si="46"/>
        <v>104</v>
      </c>
      <c r="W497">
        <f t="shared" si="47"/>
        <v>114</v>
      </c>
      <c r="X497">
        <f t="shared" si="48"/>
        <v>154</v>
      </c>
    </row>
    <row r="498" spans="1:24" hidden="1" x14ac:dyDescent="0.25">
      <c r="B498" t="s">
        <v>157</v>
      </c>
      <c r="C498" t="s">
        <v>158</v>
      </c>
      <c r="D498" t="s">
        <v>38</v>
      </c>
      <c r="E498" t="s">
        <v>58</v>
      </c>
      <c r="F498" t="s">
        <v>159</v>
      </c>
      <c r="G498" t="s">
        <v>40</v>
      </c>
      <c r="H498" t="s">
        <v>25</v>
      </c>
      <c r="J498">
        <v>1</v>
      </c>
      <c r="K498" s="1">
        <v>45422</v>
      </c>
      <c r="L498" s="1">
        <v>45432</v>
      </c>
      <c r="M498" s="1">
        <v>45509</v>
      </c>
      <c r="N498" s="1">
        <v>45544</v>
      </c>
      <c r="O498" s="1">
        <v>45573</v>
      </c>
      <c r="P498" s="1">
        <v>45625</v>
      </c>
      <c r="Q498" s="1">
        <v>45521</v>
      </c>
      <c r="R498" s="1">
        <v>45583</v>
      </c>
      <c r="S498" t="s">
        <v>143</v>
      </c>
    </row>
    <row r="499" spans="1:24" hidden="1" x14ac:dyDescent="0.25">
      <c r="B499" t="s">
        <v>157</v>
      </c>
      <c r="C499" t="s">
        <v>158</v>
      </c>
      <c r="D499" t="s">
        <v>38</v>
      </c>
      <c r="E499" t="s">
        <v>58</v>
      </c>
      <c r="F499" t="s">
        <v>159</v>
      </c>
      <c r="G499" t="s">
        <v>41</v>
      </c>
      <c r="H499" t="s">
        <v>25</v>
      </c>
      <c r="J499">
        <v>1</v>
      </c>
      <c r="K499" s="1">
        <v>45422</v>
      </c>
      <c r="L499" s="1">
        <v>45432</v>
      </c>
      <c r="M499" s="1">
        <v>45513</v>
      </c>
      <c r="N499" s="1">
        <v>45544</v>
      </c>
      <c r="O499" s="1">
        <v>45573</v>
      </c>
      <c r="P499" s="1">
        <v>45625</v>
      </c>
      <c r="Q499" s="1">
        <v>45521</v>
      </c>
      <c r="R499" s="1">
        <v>45583</v>
      </c>
      <c r="S499" t="s">
        <v>143</v>
      </c>
    </row>
    <row r="500" spans="1:24" hidden="1" x14ac:dyDescent="0.25">
      <c r="B500" t="s">
        <v>157</v>
      </c>
      <c r="C500" t="s">
        <v>158</v>
      </c>
      <c r="D500" t="s">
        <v>38</v>
      </c>
      <c r="E500" t="s">
        <v>58</v>
      </c>
      <c r="F500" t="s">
        <v>159</v>
      </c>
      <c r="G500" t="s">
        <v>42</v>
      </c>
      <c r="H500" t="s">
        <v>25</v>
      </c>
      <c r="J500">
        <v>1</v>
      </c>
      <c r="K500" s="1">
        <v>45422</v>
      </c>
      <c r="L500" s="1">
        <v>45432</v>
      </c>
      <c r="M500" s="1">
        <v>45509</v>
      </c>
      <c r="N500" s="1">
        <v>45542</v>
      </c>
      <c r="O500" s="1">
        <v>45568</v>
      </c>
      <c r="P500" s="1">
        <v>45622</v>
      </c>
      <c r="Q500" s="1">
        <v>45519</v>
      </c>
      <c r="R500" s="1">
        <v>45582</v>
      </c>
      <c r="S500" t="s">
        <v>143</v>
      </c>
    </row>
    <row r="501" spans="1:24" hidden="1" x14ac:dyDescent="0.25">
      <c r="B501" t="s">
        <v>157</v>
      </c>
      <c r="C501" t="s">
        <v>158</v>
      </c>
      <c r="D501" t="s">
        <v>38</v>
      </c>
      <c r="E501" t="s">
        <v>58</v>
      </c>
      <c r="F501" t="s">
        <v>159</v>
      </c>
      <c r="G501" t="s">
        <v>43</v>
      </c>
      <c r="H501" t="s">
        <v>25</v>
      </c>
      <c r="J501">
        <v>1</v>
      </c>
      <c r="K501" s="1">
        <v>45422</v>
      </c>
      <c r="L501" s="1">
        <v>45432</v>
      </c>
      <c r="M501" s="1">
        <v>45513</v>
      </c>
      <c r="N501" s="1">
        <v>45547</v>
      </c>
      <c r="O501" s="1">
        <v>45569</v>
      </c>
      <c r="P501" s="1">
        <v>45625</v>
      </c>
      <c r="Q501" s="1">
        <v>45524</v>
      </c>
      <c r="R501" s="1">
        <v>45586</v>
      </c>
      <c r="S501" t="s">
        <v>143</v>
      </c>
    </row>
    <row r="502" spans="1:24" hidden="1" x14ac:dyDescent="0.25">
      <c r="B502" t="s">
        <v>157</v>
      </c>
      <c r="C502" t="s">
        <v>158</v>
      </c>
      <c r="D502" t="s">
        <v>38</v>
      </c>
      <c r="E502" t="s">
        <v>58</v>
      </c>
      <c r="F502" t="s">
        <v>159</v>
      </c>
      <c r="G502" t="s">
        <v>40</v>
      </c>
      <c r="H502" t="s">
        <v>25</v>
      </c>
      <c r="J502">
        <v>2</v>
      </c>
      <c r="K502" s="1">
        <v>45477</v>
      </c>
      <c r="L502" s="1">
        <v>45509</v>
      </c>
      <c r="M502" s="1">
        <v>45538</v>
      </c>
      <c r="N502" s="1">
        <v>45563</v>
      </c>
      <c r="O502" s="1">
        <v>45588</v>
      </c>
      <c r="P502" s="1">
        <v>45639</v>
      </c>
      <c r="Q502" s="1">
        <v>45537</v>
      </c>
      <c r="R502" s="1">
        <v>45598</v>
      </c>
      <c r="S502" t="s">
        <v>143</v>
      </c>
    </row>
    <row r="503" spans="1:24" hidden="1" x14ac:dyDescent="0.25">
      <c r="B503" t="s">
        <v>157</v>
      </c>
      <c r="C503" t="s">
        <v>158</v>
      </c>
      <c r="D503" t="s">
        <v>38</v>
      </c>
      <c r="E503" t="s">
        <v>58</v>
      </c>
      <c r="F503" t="s">
        <v>159</v>
      </c>
      <c r="G503" t="s">
        <v>41</v>
      </c>
      <c r="H503" t="s">
        <v>25</v>
      </c>
      <c r="J503">
        <v>2</v>
      </c>
      <c r="K503" s="1">
        <v>45477</v>
      </c>
      <c r="L503" s="1">
        <v>45509</v>
      </c>
      <c r="M503" s="1">
        <v>45538</v>
      </c>
      <c r="N503" s="1">
        <v>45561</v>
      </c>
      <c r="O503" s="1">
        <v>45588</v>
      </c>
      <c r="P503" s="1">
        <v>45639</v>
      </c>
      <c r="Q503" s="1">
        <v>45535</v>
      </c>
      <c r="R503" s="1">
        <v>45597</v>
      </c>
      <c r="S503" t="s">
        <v>143</v>
      </c>
    </row>
    <row r="504" spans="1:24" hidden="1" x14ac:dyDescent="0.25">
      <c r="B504" t="s">
        <v>157</v>
      </c>
      <c r="C504" t="s">
        <v>158</v>
      </c>
      <c r="D504" t="s">
        <v>38</v>
      </c>
      <c r="E504" t="s">
        <v>58</v>
      </c>
      <c r="F504" t="s">
        <v>159</v>
      </c>
      <c r="G504" t="s">
        <v>42</v>
      </c>
      <c r="H504" t="s">
        <v>25</v>
      </c>
      <c r="J504">
        <v>2</v>
      </c>
      <c r="K504" s="1">
        <v>45477</v>
      </c>
      <c r="L504" s="1">
        <v>45509</v>
      </c>
      <c r="M504" s="1">
        <v>45538</v>
      </c>
      <c r="N504" s="1">
        <v>45561</v>
      </c>
      <c r="O504" s="1">
        <v>45584</v>
      </c>
      <c r="P504" s="1">
        <v>45639</v>
      </c>
      <c r="Q504" s="1">
        <v>45535</v>
      </c>
      <c r="R504" s="1">
        <v>45597</v>
      </c>
      <c r="S504" t="s">
        <v>143</v>
      </c>
    </row>
    <row r="505" spans="1:24" hidden="1" x14ac:dyDescent="0.25">
      <c r="B505" t="s">
        <v>157</v>
      </c>
      <c r="C505" t="s">
        <v>158</v>
      </c>
      <c r="D505" t="s">
        <v>38</v>
      </c>
      <c r="E505" t="s">
        <v>58</v>
      </c>
      <c r="F505" t="s">
        <v>159</v>
      </c>
      <c r="G505" t="s">
        <v>43</v>
      </c>
      <c r="H505" t="s">
        <v>25</v>
      </c>
      <c r="J505">
        <v>2</v>
      </c>
      <c r="K505" s="1">
        <v>45477</v>
      </c>
      <c r="L505" s="1">
        <v>45509</v>
      </c>
      <c r="M505" s="1">
        <v>45538</v>
      </c>
      <c r="N505" s="1">
        <v>45561</v>
      </c>
      <c r="O505" s="1">
        <v>45581</v>
      </c>
      <c r="P505" s="1">
        <v>45639</v>
      </c>
      <c r="Q505" s="1">
        <v>45535</v>
      </c>
      <c r="R505" s="1">
        <v>45597</v>
      </c>
      <c r="S505" t="s">
        <v>143</v>
      </c>
    </row>
    <row r="506" spans="1:24" x14ac:dyDescent="0.25">
      <c r="A506" t="str">
        <f t="shared" ref="A506:A513" si="49">C506&amp;"TOSTOS"&amp;J506&amp;"Variety"&amp;G506&amp;"WaterTrt"&amp;H506&amp;IF(I506="","","Agronomy"&amp;I506)</f>
        <v>2024_Vic_Walpeup_Lentil_SatelliteTOSTOS1VarietyBoltWaterTrtRainFed</v>
      </c>
      <c r="B506" t="s">
        <v>160</v>
      </c>
      <c r="C506" t="s">
        <v>161</v>
      </c>
      <c r="D506" t="s">
        <v>46</v>
      </c>
      <c r="E506" t="s">
        <v>58</v>
      </c>
      <c r="F506" t="s">
        <v>162</v>
      </c>
      <c r="G506" t="s">
        <v>165</v>
      </c>
      <c r="H506" t="s">
        <v>25</v>
      </c>
      <c r="J506">
        <v>1</v>
      </c>
      <c r="K506" s="1">
        <v>45421</v>
      </c>
      <c r="L506" s="1">
        <v>45448</v>
      </c>
      <c r="M506" s="1">
        <v>45518</v>
      </c>
      <c r="N506" s="1">
        <v>45540</v>
      </c>
      <c r="O506" s="1">
        <v>45542</v>
      </c>
      <c r="P506" s="1">
        <v>45589</v>
      </c>
      <c r="Q506" s="1">
        <v>45521</v>
      </c>
      <c r="R506" s="1">
        <v>45573</v>
      </c>
      <c r="S506" t="s">
        <v>143</v>
      </c>
      <c r="T506">
        <f t="shared" ref="T506:T513" si="50">L506-$K506</f>
        <v>27</v>
      </c>
      <c r="U506">
        <f t="shared" ref="U506:U513" si="51">M506-$K506</f>
        <v>97</v>
      </c>
      <c r="V506">
        <f t="shared" ref="V506:V513" si="52">N506-$K506</f>
        <v>119</v>
      </c>
      <c r="W506">
        <f t="shared" ref="W506:W513" si="53">O506-$K506</f>
        <v>121</v>
      </c>
      <c r="X506">
        <f t="shared" ref="X506:X513" si="54">P506-$K506</f>
        <v>168</v>
      </c>
    </row>
    <row r="507" spans="1:24" x14ac:dyDescent="0.25">
      <c r="A507" t="str">
        <f t="shared" si="49"/>
        <v>2024_Vic_Walpeup_Lentil_SatelliteTOSTOS1VarietyHallmarkXTWaterTrtRainFed</v>
      </c>
      <c r="B507" t="s">
        <v>160</v>
      </c>
      <c r="C507" t="s">
        <v>161</v>
      </c>
      <c r="D507" t="s">
        <v>46</v>
      </c>
      <c r="E507" t="s">
        <v>58</v>
      </c>
      <c r="F507" t="s">
        <v>162</v>
      </c>
      <c r="G507" t="s">
        <v>167</v>
      </c>
      <c r="H507" t="s">
        <v>25</v>
      </c>
      <c r="J507">
        <v>1</v>
      </c>
      <c r="K507" s="1">
        <v>45421</v>
      </c>
      <c r="L507" s="1">
        <v>45448</v>
      </c>
      <c r="M507" s="1">
        <v>45518</v>
      </c>
      <c r="N507" s="1">
        <v>45540</v>
      </c>
      <c r="O507" s="1">
        <v>45544</v>
      </c>
      <c r="P507" s="1">
        <v>45589</v>
      </c>
      <c r="Q507" s="1">
        <v>45521</v>
      </c>
      <c r="R507" s="1">
        <v>45573</v>
      </c>
      <c r="S507" t="s">
        <v>143</v>
      </c>
      <c r="T507">
        <f t="shared" si="50"/>
        <v>27</v>
      </c>
      <c r="U507">
        <f t="shared" si="51"/>
        <v>97</v>
      </c>
      <c r="V507">
        <f t="shared" si="52"/>
        <v>119</v>
      </c>
      <c r="W507">
        <f t="shared" si="53"/>
        <v>123</v>
      </c>
      <c r="X507">
        <f t="shared" si="54"/>
        <v>168</v>
      </c>
    </row>
    <row r="508" spans="1:24" x14ac:dyDescent="0.25">
      <c r="A508" t="str">
        <f t="shared" si="49"/>
        <v>2024_Vic_Walpeup_Lentil_SatelliteTOSTOS1VarietyJumbo2WaterTrtRainFed</v>
      </c>
      <c r="B508" t="s">
        <v>160</v>
      </c>
      <c r="C508" t="s">
        <v>161</v>
      </c>
      <c r="D508" t="s">
        <v>46</v>
      </c>
      <c r="E508" t="s">
        <v>58</v>
      </c>
      <c r="F508" t="s">
        <v>162</v>
      </c>
      <c r="G508" t="s">
        <v>168</v>
      </c>
      <c r="H508" t="s">
        <v>25</v>
      </c>
      <c r="J508">
        <v>1</v>
      </c>
      <c r="K508" s="1">
        <v>45421</v>
      </c>
      <c r="L508" s="1">
        <v>45448</v>
      </c>
      <c r="M508" s="1">
        <v>45518</v>
      </c>
      <c r="N508" s="1">
        <v>45540</v>
      </c>
      <c r="O508" s="1">
        <v>45541</v>
      </c>
      <c r="P508" s="1">
        <v>45589</v>
      </c>
      <c r="Q508" s="1">
        <v>45521</v>
      </c>
      <c r="R508" s="1">
        <v>45573</v>
      </c>
      <c r="S508" t="s">
        <v>143</v>
      </c>
      <c r="T508">
        <f t="shared" si="50"/>
        <v>27</v>
      </c>
      <c r="U508">
        <f t="shared" si="51"/>
        <v>97</v>
      </c>
      <c r="V508">
        <f t="shared" si="52"/>
        <v>119</v>
      </c>
      <c r="W508">
        <f t="shared" si="53"/>
        <v>120</v>
      </c>
      <c r="X508">
        <f t="shared" si="54"/>
        <v>168</v>
      </c>
    </row>
    <row r="509" spans="1:24" x14ac:dyDescent="0.25">
      <c r="A509" t="str">
        <f t="shared" si="49"/>
        <v>2024_Vic_Walpeup_Lentil_SatelliteTOSTOS1VarietyKelpieXTWaterTrtRainFed</v>
      </c>
      <c r="B509" t="s">
        <v>160</v>
      </c>
      <c r="C509" t="s">
        <v>161</v>
      </c>
      <c r="D509" t="s">
        <v>46</v>
      </c>
      <c r="E509" t="s">
        <v>58</v>
      </c>
      <c r="F509" t="s">
        <v>162</v>
      </c>
      <c r="G509" t="s">
        <v>169</v>
      </c>
      <c r="H509" t="s">
        <v>25</v>
      </c>
      <c r="J509">
        <v>1</v>
      </c>
      <c r="K509" s="1">
        <v>45421</v>
      </c>
      <c r="L509" s="1">
        <v>45448</v>
      </c>
      <c r="M509" s="1">
        <v>45518</v>
      </c>
      <c r="N509" s="1"/>
      <c r="O509" s="1">
        <v>45540</v>
      </c>
      <c r="P509" s="1">
        <v>45589</v>
      </c>
      <c r="Q509" s="1" t="e">
        <v>#NUM!</v>
      </c>
      <c r="R509" s="1" t="e">
        <v>#NUM!</v>
      </c>
      <c r="S509" t="s">
        <v>143</v>
      </c>
      <c r="T509">
        <f t="shared" si="50"/>
        <v>27</v>
      </c>
      <c r="U509">
        <f t="shared" si="51"/>
        <v>97</v>
      </c>
      <c r="W509">
        <f t="shared" si="53"/>
        <v>119</v>
      </c>
      <c r="X509">
        <f t="shared" si="54"/>
        <v>168</v>
      </c>
    </row>
    <row r="510" spans="1:24" x14ac:dyDescent="0.25">
      <c r="A510" t="str">
        <f t="shared" si="49"/>
        <v>2024_Vic_Walpeup_Lentil_SatelliteTOSTOS2VarietyBoltWaterTrtRainFed</v>
      </c>
      <c r="B510" t="s">
        <v>160</v>
      </c>
      <c r="C510" t="s">
        <v>161</v>
      </c>
      <c r="D510" t="s">
        <v>46</v>
      </c>
      <c r="E510" t="s">
        <v>58</v>
      </c>
      <c r="F510" t="s">
        <v>162</v>
      </c>
      <c r="G510" t="s">
        <v>165</v>
      </c>
      <c r="H510" t="s">
        <v>25</v>
      </c>
      <c r="J510">
        <v>2</v>
      </c>
      <c r="K510" s="1">
        <v>45460</v>
      </c>
      <c r="L510" s="1">
        <v>45487</v>
      </c>
      <c r="M510" s="1">
        <v>45544</v>
      </c>
      <c r="N510" s="1"/>
      <c r="O510" s="1">
        <v>45558</v>
      </c>
      <c r="P510" s="1">
        <v>45600</v>
      </c>
      <c r="Q510" s="1" t="e">
        <v>#NUM!</v>
      </c>
      <c r="R510" s="1" t="e">
        <v>#NUM!</v>
      </c>
      <c r="S510" t="s">
        <v>143</v>
      </c>
      <c r="T510">
        <f t="shared" si="50"/>
        <v>27</v>
      </c>
      <c r="U510">
        <f t="shared" si="51"/>
        <v>84</v>
      </c>
      <c r="W510">
        <f t="shared" si="53"/>
        <v>98</v>
      </c>
      <c r="X510">
        <f t="shared" si="54"/>
        <v>140</v>
      </c>
    </row>
    <row r="511" spans="1:24" x14ac:dyDescent="0.25">
      <c r="A511" t="str">
        <f t="shared" si="49"/>
        <v>2024_Vic_Walpeup_Lentil_SatelliteTOSTOS2VarietyHallmarkXTWaterTrtRainFed</v>
      </c>
      <c r="B511" t="s">
        <v>160</v>
      </c>
      <c r="C511" t="s">
        <v>161</v>
      </c>
      <c r="D511" t="s">
        <v>46</v>
      </c>
      <c r="E511" t="s">
        <v>58</v>
      </c>
      <c r="F511" t="s">
        <v>162</v>
      </c>
      <c r="G511" t="s">
        <v>167</v>
      </c>
      <c r="H511" t="s">
        <v>25</v>
      </c>
      <c r="J511">
        <v>2</v>
      </c>
      <c r="K511" s="1">
        <v>45460</v>
      </c>
      <c r="L511" s="1">
        <v>45487</v>
      </c>
      <c r="M511" s="1">
        <v>45544</v>
      </c>
      <c r="N511" s="1"/>
      <c r="O511" s="1">
        <v>45558</v>
      </c>
      <c r="P511" s="1">
        <v>45600</v>
      </c>
      <c r="Q511" s="1" t="e">
        <v>#NUM!</v>
      </c>
      <c r="R511" s="1" t="e">
        <v>#NUM!</v>
      </c>
      <c r="S511" t="s">
        <v>143</v>
      </c>
      <c r="T511">
        <f t="shared" si="50"/>
        <v>27</v>
      </c>
      <c r="U511">
        <f t="shared" si="51"/>
        <v>84</v>
      </c>
      <c r="W511">
        <f t="shared" si="53"/>
        <v>98</v>
      </c>
      <c r="X511">
        <f t="shared" si="54"/>
        <v>140</v>
      </c>
    </row>
    <row r="512" spans="1:24" x14ac:dyDescent="0.25">
      <c r="A512" t="str">
        <f t="shared" si="49"/>
        <v>2024_Vic_Walpeup_Lentil_SatelliteTOSTOS2VarietyJumbo2WaterTrtRainFed</v>
      </c>
      <c r="B512" t="s">
        <v>160</v>
      </c>
      <c r="C512" t="s">
        <v>161</v>
      </c>
      <c r="D512" t="s">
        <v>46</v>
      </c>
      <c r="E512" t="s">
        <v>58</v>
      </c>
      <c r="F512" t="s">
        <v>162</v>
      </c>
      <c r="G512" t="s">
        <v>168</v>
      </c>
      <c r="H512" t="s">
        <v>25</v>
      </c>
      <c r="J512">
        <v>2</v>
      </c>
      <c r="K512" s="1">
        <v>45460</v>
      </c>
      <c r="L512" s="1">
        <v>45487</v>
      </c>
      <c r="M512" s="1">
        <v>45531</v>
      </c>
      <c r="N512" s="1">
        <v>45558</v>
      </c>
      <c r="O512" s="1">
        <v>45558</v>
      </c>
      <c r="P512" s="1">
        <v>45600</v>
      </c>
      <c r="Q512" s="1">
        <v>45537</v>
      </c>
      <c r="R512" s="1">
        <v>45586</v>
      </c>
      <c r="S512" t="s">
        <v>143</v>
      </c>
      <c r="T512">
        <f t="shared" si="50"/>
        <v>27</v>
      </c>
      <c r="U512">
        <f t="shared" si="51"/>
        <v>71</v>
      </c>
      <c r="V512">
        <f t="shared" si="52"/>
        <v>98</v>
      </c>
      <c r="W512">
        <f t="shared" si="53"/>
        <v>98</v>
      </c>
      <c r="X512">
        <f t="shared" si="54"/>
        <v>140</v>
      </c>
    </row>
    <row r="513" spans="1:24" x14ac:dyDescent="0.25">
      <c r="A513" t="str">
        <f t="shared" si="49"/>
        <v>2024_Vic_Walpeup_Lentil_SatelliteTOSTOS2VarietyKelpieXTWaterTrtRainFed</v>
      </c>
      <c r="B513" t="s">
        <v>160</v>
      </c>
      <c r="C513" t="s">
        <v>161</v>
      </c>
      <c r="D513" t="s">
        <v>46</v>
      </c>
      <c r="E513" t="s">
        <v>58</v>
      </c>
      <c r="F513" t="s">
        <v>162</v>
      </c>
      <c r="G513" t="s">
        <v>169</v>
      </c>
      <c r="H513" t="s">
        <v>25</v>
      </c>
      <c r="J513">
        <v>2</v>
      </c>
      <c r="K513" s="1">
        <v>45460</v>
      </c>
      <c r="L513" s="1">
        <v>45487</v>
      </c>
      <c r="M513" s="1">
        <v>45544</v>
      </c>
      <c r="N513" s="1">
        <v>45551</v>
      </c>
      <c r="O513" s="1">
        <v>45558</v>
      </c>
      <c r="P513" s="1">
        <v>45600</v>
      </c>
      <c r="Q513" s="1">
        <v>45531</v>
      </c>
      <c r="R513" s="1">
        <v>45582</v>
      </c>
      <c r="S513" t="s">
        <v>143</v>
      </c>
      <c r="T513">
        <f t="shared" si="50"/>
        <v>27</v>
      </c>
      <c r="U513">
        <f t="shared" si="51"/>
        <v>84</v>
      </c>
      <c r="V513">
        <f t="shared" si="52"/>
        <v>91</v>
      </c>
      <c r="W513">
        <f t="shared" si="53"/>
        <v>98</v>
      </c>
      <c r="X513">
        <f t="shared" si="54"/>
        <v>140</v>
      </c>
    </row>
  </sheetData>
  <autoFilter ref="B1:S513" xr:uid="{00000000-0001-0000-0000-000000000000}">
    <filterColumn colId="1">
      <filters>
        <filter val="2022_NSW_Greenethorpe_Chickpea_Satellite"/>
        <filter val="2022_NSW_Methul_Lentil_Satellite"/>
        <filter val="2022_NSW_RankinsSprings_Chickpea_Satellite"/>
        <filter val="2022_NSW_RankinsSprings_Lentil_Satellite"/>
        <filter val="2022_SA_Warnertown_Fababean_Satellite"/>
        <filter val="2022_SA_Warnertown_Lentil_Satellite"/>
        <filter val="2022_Vic_Ouyen_Chickpea_Satellite"/>
        <filter val="2022_Vic_Ouyen_Lentil_Satellite"/>
        <filter val="2022_WA_Deepdale_Chickpea_Satellite"/>
        <filter val="2023_NSW_RankinsSprings_Fababean_Satellite"/>
        <filter val="2023_NSW_RankinsSprings_Lupin_Satellite"/>
        <filter val="2023_SA_Warnertown_Fababean_Satellite"/>
        <filter val="2023_SA_Warnertown_Lentil_Satellite"/>
        <filter val="2023_Vic_Ouyen_Chickpea_Satellite"/>
        <filter val="2023_Vic_Ouyen_Lentil_Satellite"/>
        <filter val="2024_SA_Warnertown_Fababean_Satellite"/>
        <filter val="2024_SA_Warnertown_Lentil_Satellite"/>
        <filter val="2024_Vic_Douglas_Fababean_Satellite"/>
        <filter val="2024_Vic_Walpeup_Lentil_Satellite"/>
      </filters>
    </filterColumn>
    <filterColumn colId="2">
      <filters>
        <filter val="Lentil"/>
      </filters>
    </filterColumn>
    <filterColumn colId="3">
      <filters>
        <filter val="Satellite"/>
      </filters>
    </filterColumn>
  </autoFilter>
  <sortState xmlns:xlrd2="http://schemas.microsoft.com/office/spreadsheetml/2017/richdata2" ref="B66:S513">
    <sortCondition ref="C2:C513"/>
    <sortCondition ref="J2:J513"/>
  </sortState>
  <pageMargins left="0.7" right="0.7" top="0.75" bottom="0.75" header="0.3" footer="0.3"/>
  <pageSetup paperSize="9" orientation="portrait" horizontalDpi="300" verticalDpi="300"/>
  <headerFooter>
    <oddHeader>&amp;C&amp;"Aptos"&amp;12&amp;KFF0000 OFFICIAL&amp;1#_x000D_</oddHeader>
    <oddFooter>&amp;C_x000D_&amp;1#&amp;"Aptos"&amp;12&amp;KFF0000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cla473</dc:creator>
  <cp:lastModifiedBy>Hamish Brown</cp:lastModifiedBy>
  <dcterms:created xsi:type="dcterms:W3CDTF">2026-04-10T03:14:09Z</dcterms:created>
  <dcterms:modified xsi:type="dcterms:W3CDTF">2026-06-25T21:59:42Z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2026-04-10T06:43:00Z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f5422922-a951-4e2f-a401-c61aad5777d8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  <property fmtid="{D5CDD505-2E9C-101B-9397-08002B2CF9AE}" pid="10" name="MSIP_Label_8d8f3512-c98a-4fbc-ad6e-3260f1cde3f8_Enabled">
    <vt:lpwstr>true</vt:lpwstr>
  </property>
  <property fmtid="{D5CDD505-2E9C-101B-9397-08002B2CF9AE}" pid="11" name="MSIP_Label_8d8f3512-c98a-4fbc-ad6e-3260f1cde3f8_SetDate">
    <vt:lpwstr>2026-05-29T05:01:29Z</vt:lpwstr>
  </property>
  <property fmtid="{D5CDD505-2E9C-101B-9397-08002B2CF9AE}" pid="12" name="MSIP_Label_8d8f3512-c98a-4fbc-ad6e-3260f1cde3f8_Method">
    <vt:lpwstr>Standard</vt:lpwstr>
  </property>
  <property fmtid="{D5CDD505-2E9C-101B-9397-08002B2CF9AE}" pid="13" name="MSIP_Label_8d8f3512-c98a-4fbc-ad6e-3260f1cde3f8_Name">
    <vt:lpwstr>Internal</vt:lpwstr>
  </property>
  <property fmtid="{D5CDD505-2E9C-101B-9397-08002B2CF9AE}" pid="14" name="MSIP_Label_8d8f3512-c98a-4fbc-ad6e-3260f1cde3f8_SiteId">
    <vt:lpwstr>6ca75ef7-2c66-42e7-af2c-6502153a7e3a</vt:lpwstr>
  </property>
  <property fmtid="{D5CDD505-2E9C-101B-9397-08002B2CF9AE}" pid="15" name="MSIP_Label_8d8f3512-c98a-4fbc-ad6e-3260f1cde3f8_ActionId">
    <vt:lpwstr>f2e4c4fe-ae1a-4983-b575-475124c32a53</vt:lpwstr>
  </property>
  <property fmtid="{D5CDD505-2E9C-101B-9397-08002B2CF9AE}" pid="16" name="MSIP_Label_8d8f3512-c98a-4fbc-ad6e-3260f1cde3f8_ContentBits">
    <vt:lpwstr>0</vt:lpwstr>
  </property>
  <property fmtid="{D5CDD505-2E9C-101B-9397-08002B2CF9AE}" pid="17" name="MSIP_Label_8d8f3512-c98a-4fbc-ad6e-3260f1cde3f8_Tag">
    <vt:lpwstr>10, 3, 0, 1</vt:lpwstr>
  </property>
</Properties>
</file>